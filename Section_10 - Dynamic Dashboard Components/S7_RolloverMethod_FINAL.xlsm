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cBook\Desktop\Excel Dashboards\Section_10 - Dynamic Dashboard Components\"/>
    </mc:Choice>
  </mc:AlternateContent>
  <xr:revisionPtr revIDLastSave="0" documentId="13_ncr:1_{5D856D80-E6C7-4D9E-9C27-868F8688E6A4}" xr6:coauthVersionLast="47" xr6:coauthVersionMax="47" xr10:uidLastSave="{00000000-0000-0000-0000-000000000000}"/>
  <bookViews>
    <workbookView xWindow="-120" yWindow="-120" windowWidth="19440" windowHeight="11790" activeTab="1" xr2:uid="{00000000-000D-0000-FFFF-FFFF00000000}"/>
  </bookViews>
  <sheets>
    <sheet name="Source Data" sheetId="1" r:id="rId1"/>
    <sheet name="Products Review Rating" sheetId="2" r:id="rId2"/>
  </sheets>
  <functionGroups builtInGroupCount="19"/>
  <definedNames>
    <definedName name="_xlnm._FilterDatabase" localSheetId="0" hidden="1">'Source Data'!$A$1:$A$156</definedName>
    <definedName name="_xlnm.Extract" localSheetId="0">'Products Review Rating'!$B$5</definedName>
    <definedName name="Product_Selection">'Products Review Rating'!$B$22</definedName>
    <definedName name="Products">'Products Review Rating'!$B$6:$B$19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2" l="1"/>
  <c r="J7" i="2"/>
  <c r="K7" i="2"/>
  <c r="L7" i="2"/>
  <c r="M7" i="2"/>
  <c r="N7" i="2"/>
  <c r="J8" i="2"/>
  <c r="K8" i="2"/>
  <c r="L8" i="2"/>
  <c r="M8" i="2"/>
  <c r="N8" i="2"/>
  <c r="J9" i="2"/>
  <c r="K9" i="2"/>
  <c r="L9" i="2"/>
  <c r="M9" i="2"/>
  <c r="N9" i="2"/>
  <c r="J10" i="2"/>
  <c r="K10" i="2"/>
  <c r="L10" i="2"/>
  <c r="M10" i="2"/>
  <c r="N10" i="2"/>
  <c r="J11" i="2"/>
  <c r="K11" i="2"/>
  <c r="L11" i="2"/>
  <c r="M11" i="2"/>
  <c r="N11" i="2"/>
  <c r="J12" i="2"/>
  <c r="K12" i="2"/>
  <c r="L12" i="2"/>
  <c r="M12" i="2"/>
  <c r="N12" i="2"/>
  <c r="J13" i="2"/>
  <c r="K13" i="2"/>
  <c r="L13" i="2"/>
  <c r="M13" i="2"/>
  <c r="N13" i="2"/>
  <c r="J14" i="2"/>
  <c r="K14" i="2"/>
  <c r="L14" i="2"/>
  <c r="M14" i="2"/>
  <c r="N14" i="2"/>
  <c r="J15" i="2"/>
  <c r="K15" i="2"/>
  <c r="L15" i="2"/>
  <c r="M15" i="2"/>
  <c r="N15" i="2"/>
  <c r="J16" i="2"/>
  <c r="K16" i="2"/>
  <c r="L16" i="2"/>
  <c r="M16" i="2"/>
  <c r="N16" i="2"/>
  <c r="J17" i="2"/>
  <c r="K17" i="2"/>
  <c r="L17" i="2"/>
  <c r="M17" i="2"/>
  <c r="N17" i="2"/>
  <c r="J18" i="2"/>
  <c r="K18" i="2"/>
  <c r="L18" i="2"/>
  <c r="M18" i="2"/>
  <c r="N18" i="2"/>
  <c r="J19" i="2"/>
  <c r="K19" i="2"/>
  <c r="L19" i="2"/>
  <c r="M19" i="2"/>
  <c r="N19" i="2"/>
  <c r="K6" i="2"/>
  <c r="L6" i="2"/>
  <c r="M6" i="2"/>
  <c r="N6" i="2"/>
  <c r="J6" i="2"/>
  <c r="E7" i="2"/>
  <c r="D8" i="2"/>
  <c r="H8" i="2"/>
  <c r="G9" i="2"/>
  <c r="E11" i="2"/>
  <c r="D12" i="2"/>
  <c r="H12" i="2"/>
  <c r="G13" i="2"/>
  <c r="E15" i="2"/>
  <c r="D16" i="2"/>
  <c r="H16" i="2"/>
  <c r="G17" i="2"/>
  <c r="E19" i="2"/>
  <c r="E6" i="2"/>
  <c r="D6" i="2"/>
  <c r="C7" i="2"/>
  <c r="F7" i="2" s="1"/>
  <c r="C8" i="2"/>
  <c r="E8" i="2" s="1"/>
  <c r="C9" i="2"/>
  <c r="D9" i="2" s="1"/>
  <c r="C10" i="2"/>
  <c r="G10" i="2" s="1"/>
  <c r="C11" i="2"/>
  <c r="F11" i="2" s="1"/>
  <c r="C12" i="2"/>
  <c r="E12" i="2" s="1"/>
  <c r="C13" i="2"/>
  <c r="D13" i="2" s="1"/>
  <c r="C14" i="2"/>
  <c r="G14" i="2" s="1"/>
  <c r="C15" i="2"/>
  <c r="F15" i="2" s="1"/>
  <c r="C16" i="2"/>
  <c r="E16" i="2" s="1"/>
  <c r="C17" i="2"/>
  <c r="D17" i="2" s="1"/>
  <c r="C18" i="2"/>
  <c r="F18" i="2" s="1"/>
  <c r="C19" i="2"/>
  <c r="F19" i="2" s="1"/>
  <c r="C6" i="2"/>
  <c r="F6" i="2" s="1"/>
  <c r="B39" i="2"/>
  <c r="B36" i="2"/>
  <c r="B37" i="2"/>
  <c r="B29" i="2"/>
  <c r="B27" i="2"/>
  <c r="B30" i="2"/>
  <c r="B34" i="2"/>
  <c r="B32" i="2"/>
  <c r="B28" i="2"/>
  <c r="B35" i="2"/>
  <c r="B31" i="2"/>
  <c r="B33" i="2"/>
  <c r="B38" i="2"/>
  <c r="B26" i="2"/>
  <c r="F14" i="2" l="1"/>
  <c r="H6" i="2"/>
  <c r="H19" i="2"/>
  <c r="D19" i="2"/>
  <c r="E18" i="2"/>
  <c r="F17" i="2"/>
  <c r="G16" i="2"/>
  <c r="H15" i="2"/>
  <c r="D15" i="2"/>
  <c r="E14" i="2"/>
  <c r="F13" i="2"/>
  <c r="G12" i="2"/>
  <c r="H11" i="2"/>
  <c r="D11" i="2"/>
  <c r="E10" i="2"/>
  <c r="F9" i="2"/>
  <c r="G8" i="2"/>
  <c r="H7" i="2"/>
  <c r="D7" i="2"/>
  <c r="O17" i="2"/>
  <c r="B23" i="2" s="1"/>
  <c r="O13" i="2"/>
  <c r="O9" i="2"/>
  <c r="F10" i="2"/>
  <c r="G6" i="2"/>
  <c r="G19" i="2"/>
  <c r="H18" i="2"/>
  <c r="D18" i="2"/>
  <c r="E17" i="2"/>
  <c r="F16" i="2"/>
  <c r="G15" i="2"/>
  <c r="H14" i="2"/>
  <c r="D14" i="2"/>
  <c r="E13" i="2"/>
  <c r="F12" i="2"/>
  <c r="G11" i="2"/>
  <c r="H10" i="2"/>
  <c r="D10" i="2"/>
  <c r="E9" i="2"/>
  <c r="F8" i="2"/>
  <c r="G7" i="2"/>
  <c r="O6" i="2"/>
  <c r="O16" i="2"/>
  <c r="O12" i="2"/>
  <c r="O8" i="2"/>
  <c r="G18" i="2"/>
  <c r="H17" i="2"/>
  <c r="H13" i="2"/>
  <c r="H9" i="2"/>
  <c r="O19" i="2"/>
  <c r="O15" i="2"/>
  <c r="O11" i="2"/>
  <c r="O7" i="2"/>
  <c r="O18" i="2"/>
  <c r="O14" i="2"/>
  <c r="O10" i="2"/>
  <c r="D22" i="2"/>
  <c r="E22" i="2"/>
  <c r="C22" i="2"/>
  <c r="G22" i="2"/>
  <c r="F22" i="2"/>
</calcChain>
</file>

<file path=xl/sharedStrings.xml><?xml version="1.0" encoding="utf-8"?>
<sst xmlns="http://schemas.openxmlformats.org/spreadsheetml/2006/main" count="333" uniqueCount="89">
  <si>
    <t>Product</t>
  </si>
  <si>
    <t>Customer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</si>
  <si>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</si>
  <si>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</si>
  <si>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</si>
  <si>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</si>
  <si>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</si>
  <si>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</si>
  <si>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</si>
  <si>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</si>
  <si>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</si>
  <si>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</si>
  <si>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</si>
  <si>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</si>
  <si>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</si>
  <si>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</si>
  <si>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</si>
  <si>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</si>
  <si>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</si>
  <si>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</si>
  <si>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</si>
  <si>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</si>
  <si>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</si>
  <si>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</si>
  <si>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</si>
  <si>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</si>
  <si>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</si>
  <si>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</si>
  <si>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</si>
  <si>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</si>
  <si>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</si>
  <si>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</si>
  <si>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</si>
  <si>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</si>
  <si>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</si>
  <si>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</si>
  <si>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</si>
  <si>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</si>
  <si>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</si>
  <si>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</si>
  <si>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</si>
  <si>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</si>
  <si>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</si>
  <si>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</si>
  <si>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</si>
  <si>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</si>
  <si>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</si>
  <si>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Carnarvon Tigers</t>
  </si>
  <si>
    <t>BLONP</t>
  </si>
  <si>
    <t>FOLIG</t>
  </si>
  <si>
    <t>HANAR</t>
  </si>
  <si>
    <t>HUNGO</t>
  </si>
  <si>
    <t>LETSS</t>
  </si>
  <si>
    <t>SANTG</t>
  </si>
  <si>
    <t>SPLIR</t>
  </si>
  <si>
    <t>WELLI</t>
  </si>
  <si>
    <t>Chai</t>
  </si>
  <si>
    <t>DUMON</t>
  </si>
  <si>
    <t>LAMAI</t>
  </si>
  <si>
    <t>NORTS</t>
  </si>
  <si>
    <t>PRINI</t>
  </si>
  <si>
    <t>TORTU</t>
  </si>
  <si>
    <t>Chang</t>
  </si>
  <si>
    <t>CONSH</t>
  </si>
  <si>
    <t>FOLKO</t>
  </si>
  <si>
    <t>VICTE</t>
  </si>
  <si>
    <t>WANDK</t>
  </si>
  <si>
    <t>Chartreuse verte</t>
  </si>
  <si>
    <t>BLAUS</t>
  </si>
  <si>
    <t>QUEDE</t>
  </si>
  <si>
    <t>Chef Anton's Cajun Seasoning</t>
  </si>
  <si>
    <t>EASTC</t>
  </si>
  <si>
    <t>TRADH</t>
  </si>
  <si>
    <t>Chef Anton's Gumbo Mix</t>
  </si>
  <si>
    <t>THEBI</t>
  </si>
  <si>
    <t>Chocolade</t>
  </si>
  <si>
    <t>Côte de Blaye</t>
  </si>
  <si>
    <t>GREAL</t>
  </si>
  <si>
    <t>SIMOB</t>
  </si>
  <si>
    <t>Escargots de Bourgogne</t>
  </si>
  <si>
    <t>OLDWO</t>
  </si>
  <si>
    <t>Filo Mix</t>
  </si>
  <si>
    <t>LAUGB</t>
  </si>
  <si>
    <t>TOMSP</t>
  </si>
  <si>
    <t>VINET</t>
  </si>
  <si>
    <t>Rating</t>
  </si>
  <si>
    <t>Products Review Rating</t>
  </si>
  <si>
    <t>Star Rating</t>
  </si>
  <si>
    <t>Total Reviews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</si>
</sst>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10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10"/>
      <name val="Wingdings 2"/>
      <family val="1"/>
      <charset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4" fillId="0" borderId="0" xfId="0" applyFont="1"/>
    <xf numFmtId="0" fontId="1" fillId="0" borderId="1" xfId="0" applyFont="1" applyFill="1" applyBorder="1"/>
    <xf numFmtId="0" fontId="2" fillId="0" borderId="0" xfId="0" applyFont="1" applyFill="1" applyBorder="1" applyAlignment="1">
      <alignment horizontal="left" vertical="center" wrapText="1"/>
    </xf>
    <xf numFmtId="0" fontId="1" fillId="0" borderId="2" xfId="0" applyFont="1" applyFill="1" applyBorder="1"/>
    <xf numFmtId="0" fontId="1" fillId="0" borderId="1" xfId="0" applyNumberFormat="1" applyFont="1" applyFill="1" applyBorder="1"/>
    <xf numFmtId="0" fontId="2" fillId="0" borderId="3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>
      <alignment horizontal="center" vertical="center"/>
    </xf>
    <xf numFmtId="0" fontId="0" fillId="3" borderId="0" xfId="0" applyFill="1"/>
    <xf numFmtId="0" fontId="3" fillId="3" borderId="0" xfId="0" applyFont="1" applyFill="1"/>
    <xf numFmtId="0" fontId="0" fillId="3" borderId="0" xfId="0" applyFill="1" applyBorder="1"/>
    <xf numFmtId="0" fontId="2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/>
    <xf numFmtId="0" fontId="1" fillId="3" borderId="0" xfId="0" applyFont="1" applyFill="1" applyBorder="1"/>
    <xf numFmtId="2" fontId="0" fillId="3" borderId="0" xfId="0" applyNumberFormat="1" applyFill="1" applyBorder="1"/>
    <xf numFmtId="0" fontId="1" fillId="3" borderId="0" xfId="0" applyNumberFormat="1" applyFont="1" applyFill="1" applyBorder="1"/>
    <xf numFmtId="0" fontId="2" fillId="3" borderId="9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1" fillId="3" borderId="4" xfId="0" applyFont="1" applyFill="1" applyBorder="1"/>
    <xf numFmtId="2" fontId="1" fillId="3" borderId="0" xfId="0" applyNumberFormat="1" applyFont="1" applyFill="1" applyBorder="1"/>
    <xf numFmtId="2" fontId="1" fillId="3" borderId="5" xfId="0" applyNumberFormat="1" applyFont="1" applyFill="1" applyBorder="1"/>
    <xf numFmtId="1" fontId="1" fillId="3" borderId="0" xfId="0" applyNumberFormat="1" applyFont="1" applyFill="1" applyBorder="1"/>
    <xf numFmtId="1" fontId="3" fillId="3" borderId="0" xfId="0" applyNumberFormat="1" applyFont="1" applyFill="1" applyBorder="1"/>
    <xf numFmtId="1" fontId="0" fillId="3" borderId="0" xfId="0" applyNumberFormat="1" applyFill="1" applyBorder="1"/>
    <xf numFmtId="0" fontId="1" fillId="3" borderId="6" xfId="0" applyFont="1" applyFill="1" applyBorder="1"/>
    <xf numFmtId="2" fontId="0" fillId="3" borderId="7" xfId="0" applyNumberFormat="1" applyFill="1" applyBorder="1"/>
    <xf numFmtId="2" fontId="1" fillId="3" borderId="7" xfId="0" applyNumberFormat="1" applyFont="1" applyFill="1" applyBorder="1"/>
    <xf numFmtId="2" fontId="1" fillId="3" borderId="8" xfId="0" applyNumberFormat="1" applyFont="1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3" fillId="3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2" fillId="3" borderId="10" xfId="0" applyNumberFormat="1" applyFont="1" applyFill="1" applyBorder="1" applyAlignment="1">
      <alignment horizontal="center" vertical="center" wrapText="1"/>
    </xf>
    <xf numFmtId="0" fontId="2" fillId="3" borderId="1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/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/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55"/>
        </top>
        <bottom/>
        <vertical/>
        <horizontal/>
      </border>
    </dxf>
    <dxf>
      <border outline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336699"/>
      <rgbColor rgb="00FFFF00"/>
      <rgbColor rgb="00FF00FF"/>
      <rgbColor rgb="0000FFFF"/>
      <rgbColor rgb="00800000"/>
      <rgbColor rgb="00008000"/>
      <rgbColor rgb="00015CA7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EE6F2"/>
      <rgbColor rgb="0033CCCC"/>
      <rgbColor rgb="0099CC00"/>
      <rgbColor rgb="00FFCC00"/>
      <rgbColor rgb="00FF9900"/>
      <rgbColor rgb="00FF6600"/>
      <rgbColor rgb="00336699"/>
      <rgbColor rgb="00969696"/>
      <rgbColor rgb="00003366"/>
      <rgbColor rgb="00339966"/>
      <rgbColor rgb="00003300"/>
      <rgbColor rgb="00333300"/>
      <rgbColor rgb="00993300"/>
      <rgbColor rgb="00993366"/>
      <rgbColor rgb="002481BA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'Products Review Rating'!$B$23</c:f>
          <c:strCache>
            <c:ptCount val="1"/>
            <c:pt idx="0">
              <c:v>13 Total Reviews For Alice Mutton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'Products Review Rating'!$B$22</c:f>
              <c:strCache>
                <c:ptCount val="1"/>
                <c:pt idx="0">
                  <c:v>Alice Mutton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'Products Review Rating'!$C$22:$G$22</c:f>
              <c:numCache>
                <c:formatCode>General</c:formatCode>
                <c:ptCount val="5"/>
                <c:pt idx="0">
                  <c:v>6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8-4B00-8C74-F7191CFC1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533033096"/>
        <c:axId val="533030144"/>
      </c:barChart>
      <c:catAx>
        <c:axId val="533033096"/>
        <c:scaling>
          <c:orientation val="maxMin"/>
        </c:scaling>
        <c:delete val="0"/>
        <c:axPos val="l"/>
        <c:numFmt formatCode="General&quot; Star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533030144"/>
        <c:crosses val="autoZero"/>
        <c:auto val="1"/>
        <c:lblAlgn val="ctr"/>
        <c:lblOffset val="100"/>
        <c:noMultiLvlLbl val="0"/>
      </c:catAx>
      <c:valAx>
        <c:axId val="533030144"/>
        <c:scaling>
          <c:orientation val="minMax"/>
          <c:max val="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53303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9526</xdr:colOff>
      <xdr:row>25</xdr:row>
      <xdr:rowOff>57151</xdr:rowOff>
    </xdr:from>
    <xdr:to>
      <xdr:col>14</xdr:col>
      <xdr:colOff>704851</xdr:colOff>
      <xdr:row>38</xdr:row>
      <xdr:rowOff>104776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49BC66-88BA-4830-A12A-A538F43DCA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35D9B6-888A-4903-9D37-60CCCA28FE52}" name="Table1" displayName="Table1" ref="A1:C156" totalsRowShown="0" tableBorderDxfId="3">
  <tableColumns count="3">
    <tableColumn id="1" xr3:uid="{B339F6CF-E3BE-40C2-87E3-03DB300839B3}" name="Product" dataDxfId="2"/>
    <tableColumn id="2" xr3:uid="{0205C8CE-34C5-4926-8B0E-97D895C8F93B}" name="Customer" dataDxfId="1"/>
    <tableColumn id="3" xr3:uid="{4097C30D-6E2B-4AD9-9BA8-247D7F7D667A}" name="Ratin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H156"/>
  <sheetViews>
    <sheetView showGridLines="0" workbookViewId="0">
      <selection activeCell="C145" sqref="C145"/>
    </sheetView>
  </sheetViews>
  <sheetFormatPr defaultRowHeight="12.75" x14ac:dyDescent="0.2"/>
  <cols>
    <col min="1" max="1" width="30.85546875" bestFit="1" customWidth="1"/>
    <col min="2" max="2" width="11.140625" customWidth="1"/>
    <col min="3" max="3" width="10.140625" bestFit="1" customWidth="1"/>
    <col min="4" max="4" width="10" customWidth="1"/>
    <col min="5" max="5" width="26.5703125" bestFit="1" customWidth="1"/>
    <col min="6" max="6" width="5" customWidth="1"/>
    <col min="7" max="7" width="4.5703125" customWidth="1"/>
    <col min="8" max="8" width="4.7109375" customWidth="1"/>
    <col min="9" max="9" width="10" customWidth="1"/>
  </cols>
  <sheetData>
    <row r="1" spans="1:8" ht="18.75" customHeight="1" x14ac:dyDescent="0.2">
      <c r="A1" s="3" t="s">
        <v>0</v>
      </c>
      <c r="B1" s="6" t="s">
        <v>1</v>
      </c>
      <c r="C1" s="7" t="s">
        <v>85</v>
      </c>
      <c r="F1" s="1"/>
      <c r="G1" s="1"/>
      <c r="H1" s="1"/>
    </row>
    <row r="2" spans="1:8" x14ac:dyDescent="0.2">
      <c r="A2" s="4" t="s">
        <v>2</v>
      </c>
      <c r="B2" s="2" t="s">
        <v>3</v>
      </c>
      <c r="C2" s="5">
        <v>5</v>
      </c>
    </row>
    <row r="3" spans="1:8" x14ac:dyDescent="0.2">
      <c r="A3" s="4" t="s">
        <v>2</v>
      </c>
      <c r="B3" s="2" t="s">
        <v>4</v>
      </c>
      <c r="C3" s="5">
        <v>1</v>
      </c>
    </row>
    <row r="4" spans="1:8" x14ac:dyDescent="0.2">
      <c r="A4" s="4" t="s">
        <v>2</v>
      </c>
      <c r="B4" s="2" t="s">
        <v>5</v>
      </c>
      <c r="C4" s="5">
        <v>3</v>
      </c>
    </row>
    <row r="5" spans="1:8" x14ac:dyDescent="0.2">
      <c r="A5" s="4" t="s">
        <v>2</v>
      </c>
      <c r="B5" s="2" t="s">
        <v>6</v>
      </c>
      <c r="C5" s="5">
        <v>4</v>
      </c>
    </row>
    <row r="6" spans="1:8" x14ac:dyDescent="0.2">
      <c r="A6" s="4" t="s">
        <v>2</v>
      </c>
      <c r="B6" s="2" t="s">
        <v>7</v>
      </c>
      <c r="C6" s="5">
        <v>2</v>
      </c>
    </row>
    <row r="7" spans="1:8" x14ac:dyDescent="0.2">
      <c r="A7" s="4" t="s">
        <v>2</v>
      </c>
      <c r="B7" s="2" t="s">
        <v>8</v>
      </c>
      <c r="C7" s="5">
        <v>1</v>
      </c>
    </row>
    <row r="8" spans="1:8" x14ac:dyDescent="0.2">
      <c r="A8" s="4" t="s">
        <v>2</v>
      </c>
      <c r="B8" s="2" t="s">
        <v>9</v>
      </c>
      <c r="C8" s="5">
        <v>5</v>
      </c>
    </row>
    <row r="9" spans="1:8" x14ac:dyDescent="0.2">
      <c r="A9" s="4" t="s">
        <v>2</v>
      </c>
      <c r="B9" s="2" t="s">
        <v>10</v>
      </c>
      <c r="C9" s="5">
        <v>1</v>
      </c>
    </row>
    <row r="10" spans="1:8" x14ac:dyDescent="0.2">
      <c r="A10" s="4" t="s">
        <v>2</v>
      </c>
      <c r="B10" s="2" t="s">
        <v>11</v>
      </c>
      <c r="C10" s="5">
        <v>5</v>
      </c>
    </row>
    <row r="11" spans="1:8" x14ac:dyDescent="0.2">
      <c r="A11" s="4" t="s">
        <v>2</v>
      </c>
      <c r="B11" s="2" t="s">
        <v>12</v>
      </c>
      <c r="C11" s="5">
        <v>1</v>
      </c>
    </row>
    <row r="12" spans="1:8" x14ac:dyDescent="0.2">
      <c r="A12" s="4" t="s">
        <v>2</v>
      </c>
      <c r="B12" s="2" t="s">
        <v>13</v>
      </c>
      <c r="C12" s="5">
        <v>4</v>
      </c>
    </row>
    <row r="13" spans="1:8" x14ac:dyDescent="0.2">
      <c r="A13" s="4" t="s">
        <v>2</v>
      </c>
      <c r="B13" s="2" t="s">
        <v>14</v>
      </c>
      <c r="C13" s="5">
        <v>1</v>
      </c>
    </row>
    <row r="14" spans="1:8" x14ac:dyDescent="0.2">
      <c r="A14" s="4" t="s">
        <v>2</v>
      </c>
      <c r="B14" s="2" t="s">
        <v>15</v>
      </c>
      <c r="C14" s="5">
        <v>1</v>
      </c>
    </row>
    <row r="15" spans="1:8" x14ac:dyDescent="0.2">
      <c r="A15" s="4" t="s">
        <v>16</v>
      </c>
      <c r="B15" s="2" t="s">
        <v>17</v>
      </c>
      <c r="C15" s="5">
        <v>4</v>
      </c>
    </row>
    <row r="16" spans="1:8" x14ac:dyDescent="0.2">
      <c r="A16" s="4" t="s">
        <v>16</v>
      </c>
      <c r="B16" s="2" t="s">
        <v>6</v>
      </c>
      <c r="C16" s="5">
        <v>3</v>
      </c>
    </row>
    <row r="17" spans="1:3" x14ac:dyDescent="0.2">
      <c r="A17" s="4" t="s">
        <v>16</v>
      </c>
      <c r="B17" s="2" t="s">
        <v>7</v>
      </c>
      <c r="C17" s="5">
        <v>5</v>
      </c>
    </row>
    <row r="18" spans="1:3" x14ac:dyDescent="0.2">
      <c r="A18" s="4" t="s">
        <v>16</v>
      </c>
      <c r="B18" s="2" t="s">
        <v>18</v>
      </c>
      <c r="C18" s="5">
        <v>5</v>
      </c>
    </row>
    <row r="19" spans="1:3" x14ac:dyDescent="0.2">
      <c r="A19" s="4" t="s">
        <v>16</v>
      </c>
      <c r="B19" s="2" t="s">
        <v>19</v>
      </c>
      <c r="C19" s="5">
        <v>4</v>
      </c>
    </row>
    <row r="20" spans="1:3" x14ac:dyDescent="0.2">
      <c r="A20" s="4" t="s">
        <v>16</v>
      </c>
      <c r="B20" s="2" t="s">
        <v>20</v>
      </c>
      <c r="C20" s="5">
        <v>1</v>
      </c>
    </row>
    <row r="21" spans="1:3" x14ac:dyDescent="0.2">
      <c r="A21" s="4" t="s">
        <v>21</v>
      </c>
      <c r="B21" s="2" t="s">
        <v>3</v>
      </c>
      <c r="C21" s="5">
        <v>5</v>
      </c>
    </row>
    <row r="22" spans="1:3" x14ac:dyDescent="0.2">
      <c r="A22" s="4" t="s">
        <v>21</v>
      </c>
      <c r="B22" s="2" t="s">
        <v>4</v>
      </c>
      <c r="C22" s="5">
        <v>1</v>
      </c>
    </row>
    <row r="23" spans="1:3" x14ac:dyDescent="0.2">
      <c r="A23" s="4" t="s">
        <v>21</v>
      </c>
      <c r="B23" s="2" t="s">
        <v>22</v>
      </c>
      <c r="C23" s="5">
        <v>4</v>
      </c>
    </row>
    <row r="24" spans="1:3" x14ac:dyDescent="0.2">
      <c r="A24" s="4" t="s">
        <v>21</v>
      </c>
      <c r="B24" s="2" t="s">
        <v>6</v>
      </c>
      <c r="C24" s="5">
        <v>3</v>
      </c>
    </row>
    <row r="25" spans="1:3" x14ac:dyDescent="0.2">
      <c r="A25" s="4" t="s">
        <v>21</v>
      </c>
      <c r="B25" s="2" t="s">
        <v>23</v>
      </c>
      <c r="C25" s="5">
        <v>4</v>
      </c>
    </row>
    <row r="26" spans="1:3" x14ac:dyDescent="0.2">
      <c r="A26" s="4" t="s">
        <v>21</v>
      </c>
      <c r="B26" s="2" t="s">
        <v>24</v>
      </c>
      <c r="C26" s="5">
        <v>4</v>
      </c>
    </row>
    <row r="27" spans="1:3" x14ac:dyDescent="0.2">
      <c r="A27" s="4" t="s">
        <v>21</v>
      </c>
      <c r="B27" s="2" t="s">
        <v>25</v>
      </c>
      <c r="C27" s="5">
        <v>2</v>
      </c>
    </row>
    <row r="28" spans="1:3" x14ac:dyDescent="0.2">
      <c r="A28" s="4" t="s">
        <v>21</v>
      </c>
      <c r="B28" s="2" t="s">
        <v>26</v>
      </c>
      <c r="C28" s="5">
        <v>3</v>
      </c>
    </row>
    <row r="29" spans="1:3" x14ac:dyDescent="0.2">
      <c r="A29" s="4" t="s">
        <v>21</v>
      </c>
      <c r="B29" s="2" t="s">
        <v>27</v>
      </c>
      <c r="C29" s="5">
        <v>3</v>
      </c>
    </row>
    <row r="30" spans="1:3" x14ac:dyDescent="0.2">
      <c r="A30" s="4" t="s">
        <v>21</v>
      </c>
      <c r="B30" s="2" t="s">
        <v>28</v>
      </c>
      <c r="C30" s="5">
        <v>3</v>
      </c>
    </row>
    <row r="31" spans="1:3" x14ac:dyDescent="0.2">
      <c r="A31" s="4" t="s">
        <v>21</v>
      </c>
      <c r="B31" s="2" t="s">
        <v>29</v>
      </c>
      <c r="C31" s="5">
        <v>1</v>
      </c>
    </row>
    <row r="32" spans="1:3" x14ac:dyDescent="0.2">
      <c r="A32" s="4" t="s">
        <v>21</v>
      </c>
      <c r="B32" s="2" t="s">
        <v>30</v>
      </c>
      <c r="C32" s="5">
        <v>2</v>
      </c>
    </row>
    <row r="33" spans="1:3" x14ac:dyDescent="0.2">
      <c r="A33" s="4" t="s">
        <v>21</v>
      </c>
      <c r="B33" s="2" t="s">
        <v>31</v>
      </c>
      <c r="C33" s="5">
        <v>3</v>
      </c>
    </row>
    <row r="34" spans="1:3" x14ac:dyDescent="0.2">
      <c r="A34" s="4" t="s">
        <v>21</v>
      </c>
      <c r="B34" s="2" t="s">
        <v>19</v>
      </c>
      <c r="C34" s="5">
        <v>1</v>
      </c>
    </row>
    <row r="35" spans="1:3" x14ac:dyDescent="0.2">
      <c r="A35" s="4" t="s">
        <v>21</v>
      </c>
      <c r="B35" s="2" t="s">
        <v>32</v>
      </c>
      <c r="C35" s="5">
        <v>1</v>
      </c>
    </row>
    <row r="36" spans="1:3" x14ac:dyDescent="0.2">
      <c r="A36" s="4" t="s">
        <v>21</v>
      </c>
      <c r="B36" s="2" t="s">
        <v>13</v>
      </c>
      <c r="C36" s="5">
        <v>3</v>
      </c>
    </row>
    <row r="37" spans="1:3" x14ac:dyDescent="0.2">
      <c r="A37" s="4" t="s">
        <v>21</v>
      </c>
      <c r="B37" s="2" t="s">
        <v>33</v>
      </c>
      <c r="C37" s="5">
        <v>5</v>
      </c>
    </row>
    <row r="38" spans="1:3" x14ac:dyDescent="0.2">
      <c r="A38" s="4" t="s">
        <v>21</v>
      </c>
      <c r="B38" s="2" t="s">
        <v>20</v>
      </c>
      <c r="C38" s="5">
        <v>5</v>
      </c>
    </row>
    <row r="39" spans="1:3" x14ac:dyDescent="0.2">
      <c r="A39" s="4" t="s">
        <v>34</v>
      </c>
      <c r="B39" s="2" t="s">
        <v>35</v>
      </c>
      <c r="C39" s="5">
        <v>2</v>
      </c>
    </row>
    <row r="40" spans="1:3" x14ac:dyDescent="0.2">
      <c r="A40" s="4" t="s">
        <v>34</v>
      </c>
      <c r="B40" s="2" t="s">
        <v>36</v>
      </c>
      <c r="C40" s="5">
        <v>3</v>
      </c>
    </row>
    <row r="41" spans="1:3" x14ac:dyDescent="0.2">
      <c r="A41" s="4" t="s">
        <v>34</v>
      </c>
      <c r="B41" s="2" t="s">
        <v>4</v>
      </c>
      <c r="C41" s="5">
        <v>5</v>
      </c>
    </row>
    <row r="42" spans="1:3" x14ac:dyDescent="0.2">
      <c r="A42" s="4" t="s">
        <v>34</v>
      </c>
      <c r="B42" s="2" t="s">
        <v>6</v>
      </c>
      <c r="C42" s="5">
        <v>4</v>
      </c>
    </row>
    <row r="43" spans="1:3" x14ac:dyDescent="0.2">
      <c r="A43" s="4" t="s">
        <v>34</v>
      </c>
      <c r="B43" s="2" t="s">
        <v>37</v>
      </c>
      <c r="C43" s="5">
        <v>2</v>
      </c>
    </row>
    <row r="44" spans="1:3" x14ac:dyDescent="0.2">
      <c r="A44" s="4" t="s">
        <v>34</v>
      </c>
      <c r="B44" s="2" t="s">
        <v>38</v>
      </c>
      <c r="C44" s="5">
        <v>4</v>
      </c>
    </row>
    <row r="45" spans="1:3" x14ac:dyDescent="0.2">
      <c r="A45" s="4" t="s">
        <v>34</v>
      </c>
      <c r="B45" s="2" t="s">
        <v>39</v>
      </c>
      <c r="C45" s="5">
        <v>2</v>
      </c>
    </row>
    <row r="46" spans="1:3" x14ac:dyDescent="0.2">
      <c r="A46" s="4" t="s">
        <v>34</v>
      </c>
      <c r="B46" s="2" t="s">
        <v>40</v>
      </c>
      <c r="C46" s="5">
        <v>3</v>
      </c>
    </row>
    <row r="47" spans="1:3" x14ac:dyDescent="0.2">
      <c r="A47" s="4" t="s">
        <v>34</v>
      </c>
      <c r="B47" s="2" t="s">
        <v>41</v>
      </c>
      <c r="C47" s="5">
        <v>5</v>
      </c>
    </row>
    <row r="48" spans="1:3" x14ac:dyDescent="0.2">
      <c r="A48" s="4" t="s">
        <v>34</v>
      </c>
      <c r="B48" s="2" t="s">
        <v>27</v>
      </c>
      <c r="C48" s="5">
        <v>1</v>
      </c>
    </row>
    <row r="49" spans="1:3" x14ac:dyDescent="0.2">
      <c r="A49" s="4" t="s">
        <v>34</v>
      </c>
      <c r="B49" s="2" t="s">
        <v>42</v>
      </c>
      <c r="C49" s="5">
        <v>3</v>
      </c>
    </row>
    <row r="50" spans="1:3" x14ac:dyDescent="0.2">
      <c r="A50" s="4" t="s">
        <v>34</v>
      </c>
      <c r="B50" s="2" t="s">
        <v>29</v>
      </c>
      <c r="C50" s="5">
        <v>2</v>
      </c>
    </row>
    <row r="51" spans="1:3" x14ac:dyDescent="0.2">
      <c r="A51" s="4" t="s">
        <v>34</v>
      </c>
      <c r="B51" s="2" t="s">
        <v>31</v>
      </c>
      <c r="C51" s="5">
        <v>1</v>
      </c>
    </row>
    <row r="52" spans="1:3" x14ac:dyDescent="0.2">
      <c r="A52" s="4" t="s">
        <v>34</v>
      </c>
      <c r="B52" s="2" t="s">
        <v>19</v>
      </c>
      <c r="C52" s="5">
        <v>4</v>
      </c>
    </row>
    <row r="53" spans="1:3" x14ac:dyDescent="0.2">
      <c r="A53" s="4" t="s">
        <v>34</v>
      </c>
      <c r="B53" s="2" t="s">
        <v>43</v>
      </c>
      <c r="C53" s="5">
        <v>3</v>
      </c>
    </row>
    <row r="54" spans="1:3" x14ac:dyDescent="0.2">
      <c r="A54" s="4" t="s">
        <v>34</v>
      </c>
      <c r="B54" s="2" t="s">
        <v>44</v>
      </c>
      <c r="C54" s="5">
        <v>2</v>
      </c>
    </row>
    <row r="55" spans="1:3" x14ac:dyDescent="0.2">
      <c r="A55" s="4" t="s">
        <v>34</v>
      </c>
      <c r="B55" s="2" t="s">
        <v>13</v>
      </c>
      <c r="C55" s="5">
        <v>2</v>
      </c>
    </row>
    <row r="56" spans="1:3" x14ac:dyDescent="0.2">
      <c r="A56" s="4" t="s">
        <v>34</v>
      </c>
      <c r="B56" s="2" t="s">
        <v>45</v>
      </c>
      <c r="C56" s="5">
        <v>1</v>
      </c>
    </row>
    <row r="57" spans="1:3" x14ac:dyDescent="0.2">
      <c r="A57" s="4" t="s">
        <v>34</v>
      </c>
      <c r="B57" s="2" t="s">
        <v>46</v>
      </c>
      <c r="C57" s="5">
        <v>2</v>
      </c>
    </row>
    <row r="58" spans="1:3" x14ac:dyDescent="0.2">
      <c r="A58" s="4" t="s">
        <v>47</v>
      </c>
      <c r="B58" s="2" t="s">
        <v>48</v>
      </c>
      <c r="C58" s="5">
        <v>3</v>
      </c>
    </row>
    <row r="59" spans="1:3" x14ac:dyDescent="0.2">
      <c r="A59" s="4" t="s">
        <v>47</v>
      </c>
      <c r="B59" s="2" t="s">
        <v>22</v>
      </c>
      <c r="C59" s="5">
        <v>3</v>
      </c>
    </row>
    <row r="60" spans="1:3" x14ac:dyDescent="0.2">
      <c r="A60" s="4" t="s">
        <v>47</v>
      </c>
      <c r="B60" s="2" t="s">
        <v>49</v>
      </c>
      <c r="C60" s="5">
        <v>1</v>
      </c>
    </row>
    <row r="61" spans="1:3" x14ac:dyDescent="0.2">
      <c r="A61" s="4" t="s">
        <v>47</v>
      </c>
      <c r="B61" s="2" t="s">
        <v>50</v>
      </c>
      <c r="C61" s="5">
        <v>1</v>
      </c>
    </row>
    <row r="62" spans="1:3" x14ac:dyDescent="0.2">
      <c r="A62" s="4" t="s">
        <v>47</v>
      </c>
      <c r="B62" s="2" t="s">
        <v>51</v>
      </c>
      <c r="C62" s="5">
        <v>4</v>
      </c>
    </row>
    <row r="63" spans="1:3" x14ac:dyDescent="0.2">
      <c r="A63" s="4" t="s">
        <v>47</v>
      </c>
      <c r="B63" s="2" t="s">
        <v>52</v>
      </c>
      <c r="C63" s="5">
        <v>4</v>
      </c>
    </row>
    <row r="64" spans="1:3" x14ac:dyDescent="0.2">
      <c r="A64" s="4" t="s">
        <v>47</v>
      </c>
      <c r="B64" s="2" t="s">
        <v>19</v>
      </c>
      <c r="C64" s="5">
        <v>4</v>
      </c>
    </row>
    <row r="65" spans="1:3" x14ac:dyDescent="0.2">
      <c r="A65" s="4" t="s">
        <v>47</v>
      </c>
      <c r="B65" s="2" t="s">
        <v>53</v>
      </c>
      <c r="C65" s="5">
        <v>3</v>
      </c>
    </row>
    <row r="66" spans="1:3" x14ac:dyDescent="0.2">
      <c r="A66" s="4" t="s">
        <v>47</v>
      </c>
      <c r="B66" s="2" t="s">
        <v>54</v>
      </c>
      <c r="C66" s="5">
        <v>2</v>
      </c>
    </row>
    <row r="67" spans="1:3" x14ac:dyDescent="0.2">
      <c r="A67" s="4" t="s">
        <v>47</v>
      </c>
      <c r="B67" s="2" t="s">
        <v>55</v>
      </c>
      <c r="C67" s="5">
        <v>2</v>
      </c>
    </row>
    <row r="68" spans="1:3" x14ac:dyDescent="0.2">
      <c r="A68" s="4" t="s">
        <v>56</v>
      </c>
      <c r="B68" s="2" t="s">
        <v>4</v>
      </c>
      <c r="C68" s="5">
        <v>1</v>
      </c>
    </row>
    <row r="69" spans="1:3" x14ac:dyDescent="0.2">
      <c r="A69" s="4" t="s">
        <v>56</v>
      </c>
      <c r="B69" s="2" t="s">
        <v>48</v>
      </c>
      <c r="C69" s="5">
        <v>1</v>
      </c>
    </row>
    <row r="70" spans="1:3" x14ac:dyDescent="0.2">
      <c r="A70" s="4" t="s">
        <v>56</v>
      </c>
      <c r="B70" s="2" t="s">
        <v>57</v>
      </c>
      <c r="C70" s="5">
        <v>2</v>
      </c>
    </row>
    <row r="71" spans="1:3" x14ac:dyDescent="0.2">
      <c r="A71" s="4" t="s">
        <v>56</v>
      </c>
      <c r="B71" s="2" t="s">
        <v>51</v>
      </c>
      <c r="C71" s="5">
        <v>1</v>
      </c>
    </row>
    <row r="72" spans="1:3" x14ac:dyDescent="0.2">
      <c r="A72" s="4" t="s">
        <v>56</v>
      </c>
      <c r="B72" s="2" t="s">
        <v>58</v>
      </c>
      <c r="C72" s="5">
        <v>3</v>
      </c>
    </row>
    <row r="73" spans="1:3" x14ac:dyDescent="0.2">
      <c r="A73" s="4" t="s">
        <v>56</v>
      </c>
      <c r="B73" s="2" t="s">
        <v>27</v>
      </c>
      <c r="C73" s="5">
        <v>5</v>
      </c>
    </row>
    <row r="74" spans="1:3" x14ac:dyDescent="0.2">
      <c r="A74" s="4" t="s">
        <v>56</v>
      </c>
      <c r="B74" s="2" t="s">
        <v>18</v>
      </c>
      <c r="C74" s="5">
        <v>5</v>
      </c>
    </row>
    <row r="75" spans="1:3" x14ac:dyDescent="0.2">
      <c r="A75" s="4" t="s">
        <v>56</v>
      </c>
      <c r="B75" s="2" t="s">
        <v>42</v>
      </c>
      <c r="C75" s="5">
        <v>4</v>
      </c>
    </row>
    <row r="76" spans="1:3" x14ac:dyDescent="0.2">
      <c r="A76" s="4" t="s">
        <v>56</v>
      </c>
      <c r="B76" s="2" t="s">
        <v>59</v>
      </c>
      <c r="C76" s="5">
        <v>5</v>
      </c>
    </row>
    <row r="77" spans="1:3" x14ac:dyDescent="0.2">
      <c r="A77" s="4" t="s">
        <v>56</v>
      </c>
      <c r="B77" s="2" t="s">
        <v>60</v>
      </c>
      <c r="C77" s="5">
        <v>3</v>
      </c>
    </row>
    <row r="78" spans="1:3" x14ac:dyDescent="0.2">
      <c r="A78" s="4" t="s">
        <v>56</v>
      </c>
      <c r="B78" s="2" t="s">
        <v>31</v>
      </c>
      <c r="C78" s="5">
        <v>3</v>
      </c>
    </row>
    <row r="79" spans="1:3" x14ac:dyDescent="0.2">
      <c r="A79" s="4" t="s">
        <v>56</v>
      </c>
      <c r="B79" s="2" t="s">
        <v>19</v>
      </c>
      <c r="C79" s="5">
        <v>1</v>
      </c>
    </row>
    <row r="80" spans="1:3" x14ac:dyDescent="0.2">
      <c r="A80" s="4" t="s">
        <v>56</v>
      </c>
      <c r="B80" s="2" t="s">
        <v>13</v>
      </c>
      <c r="C80" s="5">
        <v>4</v>
      </c>
    </row>
    <row r="81" spans="1:3" x14ac:dyDescent="0.2">
      <c r="A81" s="4" t="s">
        <v>56</v>
      </c>
      <c r="B81" s="2" t="s">
        <v>61</v>
      </c>
      <c r="C81" s="5">
        <v>1</v>
      </c>
    </row>
    <row r="82" spans="1:3" x14ac:dyDescent="0.2">
      <c r="A82" s="4" t="s">
        <v>56</v>
      </c>
      <c r="B82" s="2" t="s">
        <v>45</v>
      </c>
      <c r="C82" s="5">
        <v>4</v>
      </c>
    </row>
    <row r="83" spans="1:3" x14ac:dyDescent="0.2">
      <c r="A83" s="4" t="s">
        <v>56</v>
      </c>
      <c r="B83" s="2" t="s">
        <v>46</v>
      </c>
      <c r="C83" s="5">
        <v>1</v>
      </c>
    </row>
    <row r="84" spans="1:3" x14ac:dyDescent="0.2">
      <c r="A84" s="4" t="s">
        <v>62</v>
      </c>
      <c r="B84" s="2" t="s">
        <v>36</v>
      </c>
      <c r="C84" s="5">
        <v>4</v>
      </c>
    </row>
    <row r="85" spans="1:3" x14ac:dyDescent="0.2">
      <c r="A85" s="4" t="s">
        <v>62</v>
      </c>
      <c r="B85" s="2" t="s">
        <v>63</v>
      </c>
      <c r="C85" s="5">
        <v>5</v>
      </c>
    </row>
    <row r="86" spans="1:3" x14ac:dyDescent="0.2">
      <c r="A86" s="4" t="s">
        <v>62</v>
      </c>
      <c r="B86" s="2" t="s">
        <v>64</v>
      </c>
      <c r="C86" s="5">
        <v>5</v>
      </c>
    </row>
    <row r="87" spans="1:3" x14ac:dyDescent="0.2">
      <c r="A87" s="4" t="s">
        <v>62</v>
      </c>
      <c r="B87" s="2" t="s">
        <v>25</v>
      </c>
      <c r="C87" s="5">
        <v>4</v>
      </c>
    </row>
    <row r="88" spans="1:3" x14ac:dyDescent="0.2">
      <c r="A88" s="4" t="s">
        <v>62</v>
      </c>
      <c r="B88" s="2" t="s">
        <v>58</v>
      </c>
      <c r="C88" s="5">
        <v>5</v>
      </c>
    </row>
    <row r="89" spans="1:3" x14ac:dyDescent="0.2">
      <c r="A89" s="4" t="s">
        <v>62</v>
      </c>
      <c r="B89" s="2" t="s">
        <v>18</v>
      </c>
      <c r="C89" s="5">
        <v>4</v>
      </c>
    </row>
    <row r="90" spans="1:3" x14ac:dyDescent="0.2">
      <c r="A90" s="4" t="s">
        <v>62</v>
      </c>
      <c r="B90" s="2" t="s">
        <v>29</v>
      </c>
      <c r="C90" s="5">
        <v>1</v>
      </c>
    </row>
    <row r="91" spans="1:3" x14ac:dyDescent="0.2">
      <c r="A91" s="4" t="s">
        <v>62</v>
      </c>
      <c r="B91" s="2" t="s">
        <v>19</v>
      </c>
      <c r="C91" s="5">
        <v>5</v>
      </c>
    </row>
    <row r="92" spans="1:3" x14ac:dyDescent="0.2">
      <c r="A92" s="4" t="s">
        <v>62</v>
      </c>
      <c r="B92" s="2" t="s">
        <v>43</v>
      </c>
      <c r="C92" s="5">
        <v>5</v>
      </c>
    </row>
    <row r="93" spans="1:3" x14ac:dyDescent="0.2">
      <c r="A93" s="4" t="s">
        <v>62</v>
      </c>
      <c r="B93" s="2" t="s">
        <v>13</v>
      </c>
      <c r="C93" s="5">
        <v>5</v>
      </c>
    </row>
    <row r="94" spans="1:3" x14ac:dyDescent="0.2">
      <c r="A94" s="4" t="s">
        <v>62</v>
      </c>
      <c r="B94" s="2" t="s">
        <v>65</v>
      </c>
      <c r="C94" s="5">
        <v>2</v>
      </c>
    </row>
    <row r="95" spans="1:3" x14ac:dyDescent="0.2">
      <c r="A95" s="4" t="s">
        <v>62</v>
      </c>
      <c r="B95" s="2" t="s">
        <v>66</v>
      </c>
      <c r="C95" s="5">
        <v>3</v>
      </c>
    </row>
    <row r="96" spans="1:3" x14ac:dyDescent="0.2">
      <c r="A96" s="4" t="s">
        <v>62</v>
      </c>
      <c r="B96" s="2" t="s">
        <v>15</v>
      </c>
      <c r="C96" s="5">
        <v>1</v>
      </c>
    </row>
    <row r="97" spans="1:3" x14ac:dyDescent="0.2">
      <c r="A97" s="4" t="s">
        <v>62</v>
      </c>
      <c r="B97" s="2" t="s">
        <v>46</v>
      </c>
      <c r="C97" s="5">
        <v>5</v>
      </c>
    </row>
    <row r="98" spans="1:3" x14ac:dyDescent="0.2">
      <c r="A98" s="4" t="s">
        <v>67</v>
      </c>
      <c r="B98" s="2" t="s">
        <v>17</v>
      </c>
      <c r="C98" s="5">
        <v>4</v>
      </c>
    </row>
    <row r="99" spans="1:3" x14ac:dyDescent="0.2">
      <c r="A99" s="4" t="s">
        <v>67</v>
      </c>
      <c r="B99" s="2" t="s">
        <v>4</v>
      </c>
      <c r="C99" s="5">
        <v>3</v>
      </c>
    </row>
    <row r="100" spans="1:3" x14ac:dyDescent="0.2">
      <c r="A100" s="4" t="s">
        <v>67</v>
      </c>
      <c r="B100" s="2" t="s">
        <v>68</v>
      </c>
      <c r="C100" s="5">
        <v>4</v>
      </c>
    </row>
    <row r="101" spans="1:3" x14ac:dyDescent="0.2">
      <c r="A101" s="4" t="s">
        <v>67</v>
      </c>
      <c r="B101" s="2" t="s">
        <v>7</v>
      </c>
      <c r="C101" s="5">
        <v>3</v>
      </c>
    </row>
    <row r="102" spans="1:3" x14ac:dyDescent="0.2">
      <c r="A102" s="4" t="s">
        <v>67</v>
      </c>
      <c r="B102" s="2" t="s">
        <v>64</v>
      </c>
      <c r="C102" s="5">
        <v>2</v>
      </c>
    </row>
    <row r="103" spans="1:3" x14ac:dyDescent="0.2">
      <c r="A103" s="4" t="s">
        <v>67</v>
      </c>
      <c r="B103" s="2" t="s">
        <v>51</v>
      </c>
      <c r="C103" s="5">
        <v>5</v>
      </c>
    </row>
    <row r="104" spans="1:3" x14ac:dyDescent="0.2">
      <c r="A104" s="4" t="s">
        <v>67</v>
      </c>
      <c r="B104" s="2" t="s">
        <v>28</v>
      </c>
      <c r="C104" s="5">
        <v>4</v>
      </c>
    </row>
    <row r="105" spans="1:3" x14ac:dyDescent="0.2">
      <c r="A105" s="4" t="s">
        <v>67</v>
      </c>
      <c r="B105" s="2" t="s">
        <v>29</v>
      </c>
      <c r="C105" s="5">
        <v>3</v>
      </c>
    </row>
    <row r="106" spans="1:3" x14ac:dyDescent="0.2">
      <c r="A106" s="4" t="s">
        <v>67</v>
      </c>
      <c r="B106" s="2" t="s">
        <v>60</v>
      </c>
      <c r="C106" s="5">
        <v>1</v>
      </c>
    </row>
    <row r="107" spans="1:3" x14ac:dyDescent="0.2">
      <c r="A107" s="4" t="s">
        <v>67</v>
      </c>
      <c r="B107" s="2" t="s">
        <v>69</v>
      </c>
      <c r="C107" s="5">
        <v>4</v>
      </c>
    </row>
    <row r="108" spans="1:3" x14ac:dyDescent="0.2">
      <c r="A108" s="4" t="s">
        <v>67</v>
      </c>
      <c r="B108" s="2" t="s">
        <v>33</v>
      </c>
      <c r="C108" s="5">
        <v>2</v>
      </c>
    </row>
    <row r="109" spans="1:3" x14ac:dyDescent="0.2">
      <c r="A109" s="4" t="s">
        <v>67</v>
      </c>
      <c r="B109" s="2" t="s">
        <v>45</v>
      </c>
      <c r="C109" s="5">
        <v>1</v>
      </c>
    </row>
    <row r="110" spans="1:3" x14ac:dyDescent="0.2">
      <c r="A110" s="4" t="s">
        <v>70</v>
      </c>
      <c r="B110" s="2" t="s">
        <v>4</v>
      </c>
      <c r="C110" s="5">
        <v>4</v>
      </c>
    </row>
    <row r="111" spans="1:3" x14ac:dyDescent="0.2">
      <c r="A111" s="4" t="s">
        <v>70</v>
      </c>
      <c r="B111" s="2" t="s">
        <v>22</v>
      </c>
      <c r="C111" s="5">
        <v>2</v>
      </c>
    </row>
    <row r="112" spans="1:3" x14ac:dyDescent="0.2">
      <c r="A112" s="4" t="s">
        <v>70</v>
      </c>
      <c r="B112" s="2" t="s">
        <v>71</v>
      </c>
      <c r="C112" s="5">
        <v>3</v>
      </c>
    </row>
    <row r="113" spans="1:3" x14ac:dyDescent="0.2">
      <c r="A113" s="4" t="s">
        <v>70</v>
      </c>
      <c r="B113" s="2" t="s">
        <v>64</v>
      </c>
      <c r="C113" s="5">
        <v>5</v>
      </c>
    </row>
    <row r="114" spans="1:3" x14ac:dyDescent="0.2">
      <c r="A114" s="4" t="s">
        <v>70</v>
      </c>
      <c r="B114" s="2" t="s">
        <v>40</v>
      </c>
      <c r="C114" s="5">
        <v>4</v>
      </c>
    </row>
    <row r="115" spans="1:3" x14ac:dyDescent="0.2">
      <c r="A115" s="4" t="s">
        <v>70</v>
      </c>
      <c r="B115" s="2" t="s">
        <v>28</v>
      </c>
      <c r="C115" s="5">
        <v>5</v>
      </c>
    </row>
    <row r="116" spans="1:3" x14ac:dyDescent="0.2">
      <c r="A116" s="4" t="s">
        <v>70</v>
      </c>
      <c r="B116" s="2" t="s">
        <v>31</v>
      </c>
      <c r="C116" s="5">
        <v>3</v>
      </c>
    </row>
    <row r="117" spans="1:3" x14ac:dyDescent="0.2">
      <c r="A117" s="4" t="s">
        <v>70</v>
      </c>
      <c r="B117" s="2" t="s">
        <v>19</v>
      </c>
      <c r="C117" s="5">
        <v>2</v>
      </c>
    </row>
    <row r="118" spans="1:3" x14ac:dyDescent="0.2">
      <c r="A118" s="4" t="s">
        <v>70</v>
      </c>
      <c r="B118" s="2" t="s">
        <v>72</v>
      </c>
      <c r="C118" s="5">
        <v>4</v>
      </c>
    </row>
    <row r="119" spans="1:3" x14ac:dyDescent="0.2">
      <c r="A119" s="4" t="s">
        <v>70</v>
      </c>
      <c r="B119" s="2" t="s">
        <v>45</v>
      </c>
      <c r="C119" s="5">
        <v>3</v>
      </c>
    </row>
    <row r="120" spans="1:3" x14ac:dyDescent="0.2">
      <c r="A120" s="4" t="s">
        <v>73</v>
      </c>
      <c r="B120" s="2" t="s">
        <v>28</v>
      </c>
      <c r="C120" s="5">
        <v>3</v>
      </c>
    </row>
    <row r="121" spans="1:3" x14ac:dyDescent="0.2">
      <c r="A121" s="4" t="s">
        <v>73</v>
      </c>
      <c r="B121" s="2" t="s">
        <v>74</v>
      </c>
      <c r="C121" s="5">
        <v>4</v>
      </c>
    </row>
    <row r="122" spans="1:3" x14ac:dyDescent="0.2">
      <c r="A122" s="4" t="s">
        <v>75</v>
      </c>
      <c r="B122" s="2" t="s">
        <v>3</v>
      </c>
      <c r="C122" s="5">
        <v>3</v>
      </c>
    </row>
    <row r="123" spans="1:3" x14ac:dyDescent="0.2">
      <c r="A123" s="4" t="s">
        <v>75</v>
      </c>
      <c r="B123" s="2" t="s">
        <v>36</v>
      </c>
      <c r="C123" s="5">
        <v>4</v>
      </c>
    </row>
    <row r="124" spans="1:3" x14ac:dyDescent="0.2">
      <c r="A124" s="4" t="s">
        <v>75</v>
      </c>
      <c r="B124" s="2" t="s">
        <v>7</v>
      </c>
      <c r="C124" s="5">
        <v>5</v>
      </c>
    </row>
    <row r="125" spans="1:3" x14ac:dyDescent="0.2">
      <c r="A125" s="4" t="s">
        <v>75</v>
      </c>
      <c r="B125" s="2" t="s">
        <v>40</v>
      </c>
      <c r="C125" s="5">
        <v>1</v>
      </c>
    </row>
    <row r="126" spans="1:3" x14ac:dyDescent="0.2">
      <c r="A126" s="4" t="s">
        <v>75</v>
      </c>
      <c r="B126" s="2" t="s">
        <v>31</v>
      </c>
      <c r="C126" s="5">
        <v>2</v>
      </c>
    </row>
    <row r="127" spans="1:3" x14ac:dyDescent="0.2">
      <c r="A127" s="4" t="s">
        <v>76</v>
      </c>
      <c r="B127" s="2" t="s">
        <v>4</v>
      </c>
      <c r="C127" s="5">
        <v>3</v>
      </c>
    </row>
    <row r="128" spans="1:3" x14ac:dyDescent="0.2">
      <c r="A128" s="4" t="s">
        <v>76</v>
      </c>
      <c r="B128" s="2" t="s">
        <v>77</v>
      </c>
      <c r="C128" s="5">
        <v>2</v>
      </c>
    </row>
    <row r="129" spans="1:3" x14ac:dyDescent="0.2">
      <c r="A129" s="4" t="s">
        <v>76</v>
      </c>
      <c r="B129" s="2" t="s">
        <v>50</v>
      </c>
      <c r="C129" s="5">
        <v>1</v>
      </c>
    </row>
    <row r="130" spans="1:3" x14ac:dyDescent="0.2">
      <c r="A130" s="4" t="s">
        <v>76</v>
      </c>
      <c r="B130" s="2" t="s">
        <v>42</v>
      </c>
      <c r="C130" s="5">
        <v>4</v>
      </c>
    </row>
    <row r="131" spans="1:3" x14ac:dyDescent="0.2">
      <c r="A131" s="4" t="s">
        <v>76</v>
      </c>
      <c r="B131" s="2" t="s">
        <v>19</v>
      </c>
      <c r="C131" s="5">
        <v>3</v>
      </c>
    </row>
    <row r="132" spans="1:3" x14ac:dyDescent="0.2">
      <c r="A132" s="4" t="s">
        <v>76</v>
      </c>
      <c r="B132" s="2" t="s">
        <v>11</v>
      </c>
      <c r="C132" s="5">
        <v>1</v>
      </c>
    </row>
    <row r="133" spans="1:3" x14ac:dyDescent="0.2">
      <c r="A133" s="4" t="s">
        <v>76</v>
      </c>
      <c r="B133" s="2" t="s">
        <v>78</v>
      </c>
      <c r="C133" s="5">
        <v>3</v>
      </c>
    </row>
    <row r="134" spans="1:3" x14ac:dyDescent="0.2">
      <c r="A134" s="4" t="s">
        <v>76</v>
      </c>
      <c r="B134" s="2" t="s">
        <v>74</v>
      </c>
      <c r="C134" s="5">
        <v>5</v>
      </c>
    </row>
    <row r="135" spans="1:3" x14ac:dyDescent="0.2">
      <c r="A135" s="4" t="s">
        <v>76</v>
      </c>
      <c r="B135" s="2" t="s">
        <v>61</v>
      </c>
      <c r="C135" s="5">
        <v>4</v>
      </c>
    </row>
    <row r="136" spans="1:3" x14ac:dyDescent="0.2">
      <c r="A136" s="4" t="s">
        <v>79</v>
      </c>
      <c r="B136" s="2" t="s">
        <v>39</v>
      </c>
      <c r="C136" s="5">
        <v>3</v>
      </c>
    </row>
    <row r="137" spans="1:3" x14ac:dyDescent="0.2">
      <c r="A137" s="4" t="s">
        <v>79</v>
      </c>
      <c r="B137" s="2" t="s">
        <v>51</v>
      </c>
      <c r="C137" s="5">
        <v>5</v>
      </c>
    </row>
    <row r="138" spans="1:3" x14ac:dyDescent="0.2">
      <c r="A138" s="4" t="s">
        <v>79</v>
      </c>
      <c r="B138" s="2" t="s">
        <v>18</v>
      </c>
      <c r="C138" s="5">
        <v>4</v>
      </c>
    </row>
    <row r="139" spans="1:3" x14ac:dyDescent="0.2">
      <c r="A139" s="4" t="s">
        <v>79</v>
      </c>
      <c r="B139" s="2" t="s">
        <v>80</v>
      </c>
      <c r="C139" s="5">
        <v>3</v>
      </c>
    </row>
    <row r="140" spans="1:3" x14ac:dyDescent="0.2">
      <c r="A140" s="4" t="s">
        <v>79</v>
      </c>
      <c r="B140" s="2" t="s">
        <v>44</v>
      </c>
      <c r="C140" s="5">
        <v>1</v>
      </c>
    </row>
    <row r="141" spans="1:3" x14ac:dyDescent="0.2">
      <c r="A141" s="4" t="s">
        <v>79</v>
      </c>
      <c r="B141" s="2" t="s">
        <v>13</v>
      </c>
      <c r="C141" s="5">
        <v>1</v>
      </c>
    </row>
    <row r="142" spans="1:3" x14ac:dyDescent="0.2">
      <c r="A142" s="4" t="s">
        <v>79</v>
      </c>
      <c r="B142" s="2" t="s">
        <v>45</v>
      </c>
      <c r="C142" s="5">
        <v>1</v>
      </c>
    </row>
    <row r="143" spans="1:3" x14ac:dyDescent="0.2">
      <c r="A143" s="4" t="s">
        <v>81</v>
      </c>
      <c r="B143" s="2" t="s">
        <v>36</v>
      </c>
      <c r="C143" s="5">
        <v>3</v>
      </c>
    </row>
    <row r="144" spans="1:3" x14ac:dyDescent="0.2">
      <c r="A144" s="4" t="s">
        <v>81</v>
      </c>
      <c r="B144" s="2" t="s">
        <v>4</v>
      </c>
      <c r="C144" s="5">
        <v>2</v>
      </c>
    </row>
    <row r="145" spans="1:3" x14ac:dyDescent="0.2">
      <c r="A145" s="4" t="s">
        <v>81</v>
      </c>
      <c r="B145" s="2" t="s">
        <v>48</v>
      </c>
      <c r="C145" s="5">
        <v>5</v>
      </c>
    </row>
    <row r="146" spans="1:3" x14ac:dyDescent="0.2">
      <c r="A146" s="4" t="s">
        <v>81</v>
      </c>
      <c r="B146" s="2" t="s">
        <v>57</v>
      </c>
      <c r="C146" s="5">
        <v>5</v>
      </c>
    </row>
    <row r="147" spans="1:3" x14ac:dyDescent="0.2">
      <c r="A147" s="4" t="s">
        <v>81</v>
      </c>
      <c r="B147" s="2" t="s">
        <v>38</v>
      </c>
      <c r="C147" s="5">
        <v>3</v>
      </c>
    </row>
    <row r="148" spans="1:3" x14ac:dyDescent="0.2">
      <c r="A148" s="4" t="s">
        <v>81</v>
      </c>
      <c r="B148" s="2" t="s">
        <v>82</v>
      </c>
      <c r="C148" s="5">
        <v>5</v>
      </c>
    </row>
    <row r="149" spans="1:3" x14ac:dyDescent="0.2">
      <c r="A149" s="4" t="s">
        <v>81</v>
      </c>
      <c r="B149" s="2" t="s">
        <v>59</v>
      </c>
      <c r="C149" s="5">
        <v>3</v>
      </c>
    </row>
    <row r="150" spans="1:3" x14ac:dyDescent="0.2">
      <c r="A150" s="4" t="s">
        <v>81</v>
      </c>
      <c r="B150" s="2" t="s">
        <v>80</v>
      </c>
      <c r="C150" s="5">
        <v>3</v>
      </c>
    </row>
    <row r="151" spans="1:3" x14ac:dyDescent="0.2">
      <c r="A151" s="4" t="s">
        <v>81</v>
      </c>
      <c r="B151" s="2" t="s">
        <v>12</v>
      </c>
      <c r="C151" s="5">
        <v>1</v>
      </c>
    </row>
    <row r="152" spans="1:3" x14ac:dyDescent="0.2">
      <c r="A152" s="4" t="s">
        <v>81</v>
      </c>
      <c r="B152" s="2" t="s">
        <v>43</v>
      </c>
      <c r="C152" s="5">
        <v>5</v>
      </c>
    </row>
    <row r="153" spans="1:3" x14ac:dyDescent="0.2">
      <c r="A153" s="4" t="s">
        <v>81</v>
      </c>
      <c r="B153" s="2" t="s">
        <v>44</v>
      </c>
      <c r="C153" s="5">
        <v>2</v>
      </c>
    </row>
    <row r="154" spans="1:3" x14ac:dyDescent="0.2">
      <c r="A154" s="4" t="s">
        <v>81</v>
      </c>
      <c r="B154" s="2" t="s">
        <v>83</v>
      </c>
      <c r="C154" s="5">
        <v>4</v>
      </c>
    </row>
    <row r="155" spans="1:3" x14ac:dyDescent="0.2">
      <c r="A155" s="4" t="s">
        <v>81</v>
      </c>
      <c r="B155" s="2" t="s">
        <v>20</v>
      </c>
      <c r="C155" s="5">
        <v>3</v>
      </c>
    </row>
    <row r="156" spans="1:3" x14ac:dyDescent="0.2">
      <c r="A156" s="4" t="s">
        <v>81</v>
      </c>
      <c r="B156" s="2" t="s">
        <v>84</v>
      </c>
      <c r="C156" s="5">
        <v>5</v>
      </c>
    </row>
  </sheetData>
  <phoneticPr fontId="0" type="noConversion"/>
  <printOptions gridLines="1"/>
  <pageMargins left="0.75" right="0.75" top="1" bottom="1" header="0.5" footer="0.5"/>
  <pageSetup orientation="landscape" horizontalDpi="1200" verticalDpi="1200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P40"/>
  <sheetViews>
    <sheetView showGridLines="0" tabSelected="1" topLeftCell="A10" workbookViewId="0">
      <selection activeCell="B26" sqref="B26"/>
    </sheetView>
  </sheetViews>
  <sheetFormatPr defaultRowHeight="12.75" x14ac:dyDescent="0.2"/>
  <cols>
    <col min="1" max="1" width="4" customWidth="1"/>
    <col min="2" max="2" width="28.5703125" customWidth="1"/>
    <col min="3" max="3" width="6.5703125" customWidth="1"/>
    <col min="4" max="4" width="3.5703125" customWidth="1"/>
    <col min="5" max="5" width="4" customWidth="1"/>
    <col min="6" max="6" width="3.42578125" customWidth="1"/>
    <col min="7" max="7" width="3.85546875" customWidth="1"/>
    <col min="8" max="8" width="4.28515625" customWidth="1"/>
    <col min="10" max="10" width="4" customWidth="1"/>
    <col min="11" max="11" width="3.7109375" customWidth="1"/>
    <col min="12" max="12" width="4.140625" customWidth="1"/>
    <col min="13" max="13" width="3.7109375" customWidth="1"/>
    <col min="14" max="14" width="4" customWidth="1"/>
    <col min="15" max="15" width="12.28515625" bestFit="1" customWidth="1"/>
  </cols>
  <sheetData>
    <row r="1" spans="1:16" ht="22.5" customHeight="1" x14ac:dyDescent="0.2">
      <c r="A1" s="37" t="s">
        <v>86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</row>
    <row r="2" spans="1:16" x14ac:dyDescent="0.2">
      <c r="A2" s="8"/>
      <c r="B2" s="8"/>
      <c r="C2" s="8"/>
      <c r="D2" s="8"/>
      <c r="E2" s="8"/>
      <c r="F2" s="8"/>
      <c r="G2" s="8"/>
      <c r="H2" s="8"/>
      <c r="I2" s="8"/>
      <c r="J2" s="9"/>
      <c r="K2" s="8"/>
      <c r="L2" s="8"/>
      <c r="M2" s="8"/>
      <c r="N2" s="8"/>
      <c r="O2" s="9"/>
      <c r="P2" s="8"/>
    </row>
    <row r="3" spans="1:16" x14ac:dyDescent="0.2">
      <c r="A3" s="10"/>
      <c r="B3" s="11"/>
      <c r="C3" s="12"/>
      <c r="D3" s="36"/>
      <c r="E3" s="36"/>
      <c r="F3" s="36"/>
      <c r="G3" s="36"/>
      <c r="H3" s="36"/>
      <c r="I3" s="10"/>
      <c r="J3" s="10"/>
      <c r="K3" s="10"/>
      <c r="L3" s="10"/>
      <c r="M3" s="10"/>
      <c r="N3" s="10"/>
      <c r="O3" s="10"/>
      <c r="P3" s="10"/>
    </row>
    <row r="4" spans="1:16" ht="13.5" thickBot="1" x14ac:dyDescent="0.25">
      <c r="A4" s="10"/>
      <c r="B4" s="13"/>
      <c r="C4" s="14"/>
      <c r="D4" s="15">
        <v>1</v>
      </c>
      <c r="E4" s="15">
        <v>2</v>
      </c>
      <c r="F4" s="15">
        <v>3</v>
      </c>
      <c r="G4" s="15">
        <v>4</v>
      </c>
      <c r="H4" s="15">
        <v>5</v>
      </c>
      <c r="I4" s="10"/>
      <c r="J4" s="15">
        <v>1</v>
      </c>
      <c r="K4" s="15">
        <v>2</v>
      </c>
      <c r="L4" s="15">
        <v>3</v>
      </c>
      <c r="M4" s="15">
        <v>4</v>
      </c>
      <c r="N4" s="15">
        <v>5</v>
      </c>
      <c r="O4" s="12" t="s">
        <v>88</v>
      </c>
      <c r="P4" s="10"/>
    </row>
    <row r="5" spans="1:16" ht="13.5" thickBot="1" x14ac:dyDescent="0.25">
      <c r="A5" s="10"/>
      <c r="B5" s="16" t="s">
        <v>0</v>
      </c>
      <c r="C5" s="17" t="s">
        <v>85</v>
      </c>
      <c r="D5" s="38" t="s">
        <v>87</v>
      </c>
      <c r="E5" s="38"/>
      <c r="F5" s="38"/>
      <c r="G5" s="38"/>
      <c r="H5" s="39"/>
      <c r="I5" s="10"/>
      <c r="J5" s="10"/>
      <c r="K5" s="10"/>
      <c r="L5" s="10"/>
      <c r="M5" s="10"/>
      <c r="N5" s="10"/>
      <c r="O5" s="12"/>
      <c r="P5" s="10"/>
    </row>
    <row r="6" spans="1:16" x14ac:dyDescent="0.2">
      <c r="A6" s="10"/>
      <c r="B6" s="18" t="s">
        <v>2</v>
      </c>
      <c r="C6" s="14">
        <f>AVERAGEIF(Table1[Product],B6,Table1[Rating])</f>
        <v>2.6153846153846154</v>
      </c>
      <c r="D6" s="19">
        <f>IF($C6&gt;=D$4,1,IF(INT($C6)=D$4-1,MOD($C6,1),0))</f>
        <v>1</v>
      </c>
      <c r="E6" s="19">
        <f t="shared" ref="E6:H19" si="0">IF($C6&gt;=E$4,1,IF(INT($C6)=E$4-1,MOD($C6,1),0))</f>
        <v>1</v>
      </c>
      <c r="F6" s="19">
        <f t="shared" si="0"/>
        <v>0.61538461538461542</v>
      </c>
      <c r="G6" s="19">
        <f t="shared" si="0"/>
        <v>0</v>
      </c>
      <c r="H6" s="20">
        <f t="shared" si="0"/>
        <v>0</v>
      </c>
      <c r="I6" s="10"/>
      <c r="J6" s="21">
        <f>COUNTIFS(Table1[[Product]:[Product]],$B6,Table1[[Rating]:[Rating]],J$4)</f>
        <v>6</v>
      </c>
      <c r="K6" s="21">
        <f>COUNTIFS(Table1[[Product]:[Product]],$B6,Table1[[Rating]:[Rating]],K$4)</f>
        <v>1</v>
      </c>
      <c r="L6" s="21">
        <f>COUNTIFS(Table1[[Product]:[Product]],$B6,Table1[[Rating]:[Rating]],L$4)</f>
        <v>1</v>
      </c>
      <c r="M6" s="21">
        <f>COUNTIFS(Table1[[Product]:[Product]],$B6,Table1[[Rating]:[Rating]],M$4)</f>
        <v>2</v>
      </c>
      <c r="N6" s="21">
        <f>COUNTIFS(Table1[[Product]:[Product]],$B6,Table1[[Rating]:[Rating]],N$4)</f>
        <v>3</v>
      </c>
      <c r="O6" s="22">
        <f>SUM(J6:N6)</f>
        <v>13</v>
      </c>
      <c r="P6" s="23"/>
    </row>
    <row r="7" spans="1:16" x14ac:dyDescent="0.2">
      <c r="A7" s="10"/>
      <c r="B7" s="18" t="s">
        <v>16</v>
      </c>
      <c r="C7" s="14">
        <f>AVERAGEIF(Table1[Product],B7,Table1[Rating])</f>
        <v>3.6666666666666665</v>
      </c>
      <c r="D7" s="19">
        <f t="shared" ref="D7:D19" si="1">IF($C7&gt;=D$4,1,IF(INT($C7)=D$4-1,MOD($C7,1),0))</f>
        <v>1</v>
      </c>
      <c r="E7" s="19">
        <f t="shared" si="0"/>
        <v>1</v>
      </c>
      <c r="F7" s="19">
        <f t="shared" si="0"/>
        <v>1</v>
      </c>
      <c r="G7" s="19">
        <f t="shared" si="0"/>
        <v>0.66666666666666652</v>
      </c>
      <c r="H7" s="20">
        <f t="shared" si="0"/>
        <v>0</v>
      </c>
      <c r="I7" s="10"/>
      <c r="J7" s="21">
        <f>COUNTIFS(Table1[[Product]:[Product]],$B7,Table1[[Rating]:[Rating]],J$4)</f>
        <v>1</v>
      </c>
      <c r="K7" s="21">
        <f>COUNTIFS(Table1[[Product]:[Product]],$B7,Table1[[Rating]:[Rating]],K$4)</f>
        <v>0</v>
      </c>
      <c r="L7" s="21">
        <f>COUNTIFS(Table1[[Product]:[Product]],$B7,Table1[[Rating]:[Rating]],L$4)</f>
        <v>1</v>
      </c>
      <c r="M7" s="21">
        <f>COUNTIFS(Table1[[Product]:[Product]],$B7,Table1[[Rating]:[Rating]],M$4)</f>
        <v>2</v>
      </c>
      <c r="N7" s="21">
        <f>COUNTIFS(Table1[[Product]:[Product]],$B7,Table1[[Rating]:[Rating]],N$4)</f>
        <v>2</v>
      </c>
      <c r="O7" s="22">
        <f t="shared" ref="O7:O19" si="2">SUM(J7:N7)</f>
        <v>6</v>
      </c>
      <c r="P7" s="23"/>
    </row>
    <row r="8" spans="1:16" x14ac:dyDescent="0.2">
      <c r="A8" s="10"/>
      <c r="B8" s="18" t="s">
        <v>21</v>
      </c>
      <c r="C8" s="14">
        <f>AVERAGEIF(Table1[Product],B8,Table1[Rating])</f>
        <v>2.9444444444444446</v>
      </c>
      <c r="D8" s="19">
        <f t="shared" si="1"/>
        <v>1</v>
      </c>
      <c r="E8" s="19">
        <f t="shared" si="0"/>
        <v>1</v>
      </c>
      <c r="F8" s="19">
        <f t="shared" si="0"/>
        <v>0.94444444444444464</v>
      </c>
      <c r="G8" s="19">
        <f t="shared" si="0"/>
        <v>0</v>
      </c>
      <c r="H8" s="20">
        <f t="shared" si="0"/>
        <v>0</v>
      </c>
      <c r="I8" s="10"/>
      <c r="J8" s="21">
        <f>COUNTIFS(Table1[[Product]:[Product]],$B8,Table1[[Rating]:[Rating]],J$4)</f>
        <v>4</v>
      </c>
      <c r="K8" s="21">
        <f>COUNTIFS(Table1[[Product]:[Product]],$B8,Table1[[Rating]:[Rating]],K$4)</f>
        <v>2</v>
      </c>
      <c r="L8" s="21">
        <f>COUNTIFS(Table1[[Product]:[Product]],$B8,Table1[[Rating]:[Rating]],L$4)</f>
        <v>6</v>
      </c>
      <c r="M8" s="21">
        <f>COUNTIFS(Table1[[Product]:[Product]],$B8,Table1[[Rating]:[Rating]],M$4)</f>
        <v>3</v>
      </c>
      <c r="N8" s="21">
        <f>COUNTIFS(Table1[[Product]:[Product]],$B8,Table1[[Rating]:[Rating]],N$4)</f>
        <v>3</v>
      </c>
      <c r="O8" s="22">
        <f t="shared" si="2"/>
        <v>18</v>
      </c>
      <c r="P8" s="23"/>
    </row>
    <row r="9" spans="1:16" x14ac:dyDescent="0.2">
      <c r="A9" s="10"/>
      <c r="B9" s="18" t="s">
        <v>34</v>
      </c>
      <c r="C9" s="14">
        <f>AVERAGEIF(Table1[Product],B9,Table1[Rating])</f>
        <v>2.6842105263157894</v>
      </c>
      <c r="D9" s="19">
        <f t="shared" si="1"/>
        <v>1</v>
      </c>
      <c r="E9" s="19">
        <f t="shared" si="0"/>
        <v>1</v>
      </c>
      <c r="F9" s="19">
        <f t="shared" si="0"/>
        <v>0.68421052631578938</v>
      </c>
      <c r="G9" s="19">
        <f t="shared" si="0"/>
        <v>0</v>
      </c>
      <c r="H9" s="20">
        <f t="shared" si="0"/>
        <v>0</v>
      </c>
      <c r="I9" s="10"/>
      <c r="J9" s="21">
        <f>COUNTIFS(Table1[[Product]:[Product]],$B9,Table1[[Rating]:[Rating]],J$4)</f>
        <v>3</v>
      </c>
      <c r="K9" s="21">
        <f>COUNTIFS(Table1[[Product]:[Product]],$B9,Table1[[Rating]:[Rating]],K$4)</f>
        <v>7</v>
      </c>
      <c r="L9" s="21">
        <f>COUNTIFS(Table1[[Product]:[Product]],$B9,Table1[[Rating]:[Rating]],L$4)</f>
        <v>4</v>
      </c>
      <c r="M9" s="21">
        <f>COUNTIFS(Table1[[Product]:[Product]],$B9,Table1[[Rating]:[Rating]],M$4)</f>
        <v>3</v>
      </c>
      <c r="N9" s="21">
        <f>COUNTIFS(Table1[[Product]:[Product]],$B9,Table1[[Rating]:[Rating]],N$4)</f>
        <v>2</v>
      </c>
      <c r="O9" s="22">
        <f t="shared" si="2"/>
        <v>19</v>
      </c>
      <c r="P9" s="23"/>
    </row>
    <row r="10" spans="1:16" x14ac:dyDescent="0.2">
      <c r="A10" s="10"/>
      <c r="B10" s="18" t="s">
        <v>47</v>
      </c>
      <c r="C10" s="14">
        <f>AVERAGEIF(Table1[Product],B10,Table1[Rating])</f>
        <v>2.7</v>
      </c>
      <c r="D10" s="19">
        <f t="shared" si="1"/>
        <v>1</v>
      </c>
      <c r="E10" s="19">
        <f t="shared" si="0"/>
        <v>1</v>
      </c>
      <c r="F10" s="19">
        <f t="shared" si="0"/>
        <v>0.70000000000000018</v>
      </c>
      <c r="G10" s="19">
        <f t="shared" si="0"/>
        <v>0</v>
      </c>
      <c r="H10" s="20">
        <f t="shared" si="0"/>
        <v>0</v>
      </c>
      <c r="I10" s="10"/>
      <c r="J10" s="21">
        <f>COUNTIFS(Table1[[Product]:[Product]],$B10,Table1[[Rating]:[Rating]],J$4)</f>
        <v>2</v>
      </c>
      <c r="K10" s="21">
        <f>COUNTIFS(Table1[[Product]:[Product]],$B10,Table1[[Rating]:[Rating]],K$4)</f>
        <v>2</v>
      </c>
      <c r="L10" s="21">
        <f>COUNTIFS(Table1[[Product]:[Product]],$B10,Table1[[Rating]:[Rating]],L$4)</f>
        <v>3</v>
      </c>
      <c r="M10" s="21">
        <f>COUNTIFS(Table1[[Product]:[Product]],$B10,Table1[[Rating]:[Rating]],M$4)</f>
        <v>3</v>
      </c>
      <c r="N10" s="21">
        <f>COUNTIFS(Table1[[Product]:[Product]],$B10,Table1[[Rating]:[Rating]],N$4)</f>
        <v>0</v>
      </c>
      <c r="O10" s="22">
        <f t="shared" si="2"/>
        <v>10</v>
      </c>
      <c r="P10" s="23"/>
    </row>
    <row r="11" spans="1:16" x14ac:dyDescent="0.2">
      <c r="A11" s="10"/>
      <c r="B11" s="18" t="s">
        <v>56</v>
      </c>
      <c r="C11" s="14">
        <f>AVERAGEIF(Table1[Product],B11,Table1[Rating])</f>
        <v>2.75</v>
      </c>
      <c r="D11" s="19">
        <f t="shared" si="1"/>
        <v>1</v>
      </c>
      <c r="E11" s="19">
        <f t="shared" si="0"/>
        <v>1</v>
      </c>
      <c r="F11" s="19">
        <f t="shared" si="0"/>
        <v>0.75</v>
      </c>
      <c r="G11" s="19">
        <f t="shared" si="0"/>
        <v>0</v>
      </c>
      <c r="H11" s="20">
        <f t="shared" si="0"/>
        <v>0</v>
      </c>
      <c r="I11" s="10"/>
      <c r="J11" s="21">
        <f>COUNTIFS(Table1[[Product]:[Product]],$B11,Table1[[Rating]:[Rating]],J$4)</f>
        <v>6</v>
      </c>
      <c r="K11" s="21">
        <f>COUNTIFS(Table1[[Product]:[Product]],$B11,Table1[[Rating]:[Rating]],K$4)</f>
        <v>1</v>
      </c>
      <c r="L11" s="21">
        <f>COUNTIFS(Table1[[Product]:[Product]],$B11,Table1[[Rating]:[Rating]],L$4)</f>
        <v>3</v>
      </c>
      <c r="M11" s="21">
        <f>COUNTIFS(Table1[[Product]:[Product]],$B11,Table1[[Rating]:[Rating]],M$4)</f>
        <v>3</v>
      </c>
      <c r="N11" s="21">
        <f>COUNTIFS(Table1[[Product]:[Product]],$B11,Table1[[Rating]:[Rating]],N$4)</f>
        <v>3</v>
      </c>
      <c r="O11" s="22">
        <f t="shared" si="2"/>
        <v>16</v>
      </c>
      <c r="P11" s="23"/>
    </row>
    <row r="12" spans="1:16" x14ac:dyDescent="0.2">
      <c r="A12" s="10"/>
      <c r="B12" s="18" t="s">
        <v>62</v>
      </c>
      <c r="C12" s="14">
        <f>AVERAGEIF(Table1[Product],B12,Table1[Rating])</f>
        <v>3.8571428571428572</v>
      </c>
      <c r="D12" s="19">
        <f t="shared" si="1"/>
        <v>1</v>
      </c>
      <c r="E12" s="19">
        <f t="shared" si="0"/>
        <v>1</v>
      </c>
      <c r="F12" s="19">
        <f t="shared" si="0"/>
        <v>1</v>
      </c>
      <c r="G12" s="19">
        <f t="shared" si="0"/>
        <v>0.85714285714285721</v>
      </c>
      <c r="H12" s="20">
        <f t="shared" si="0"/>
        <v>0</v>
      </c>
      <c r="I12" s="10"/>
      <c r="J12" s="21">
        <f>COUNTIFS(Table1[[Product]:[Product]],$B12,Table1[[Rating]:[Rating]],J$4)</f>
        <v>2</v>
      </c>
      <c r="K12" s="21">
        <f>COUNTIFS(Table1[[Product]:[Product]],$B12,Table1[[Rating]:[Rating]],K$4)</f>
        <v>1</v>
      </c>
      <c r="L12" s="21">
        <f>COUNTIFS(Table1[[Product]:[Product]],$B12,Table1[[Rating]:[Rating]],L$4)</f>
        <v>1</v>
      </c>
      <c r="M12" s="21">
        <f>COUNTIFS(Table1[[Product]:[Product]],$B12,Table1[[Rating]:[Rating]],M$4)</f>
        <v>3</v>
      </c>
      <c r="N12" s="21">
        <f>COUNTIFS(Table1[[Product]:[Product]],$B12,Table1[[Rating]:[Rating]],N$4)</f>
        <v>7</v>
      </c>
      <c r="O12" s="22">
        <f t="shared" si="2"/>
        <v>14</v>
      </c>
      <c r="P12" s="23"/>
    </row>
    <row r="13" spans="1:16" x14ac:dyDescent="0.2">
      <c r="A13" s="10"/>
      <c r="B13" s="18" t="s">
        <v>67</v>
      </c>
      <c r="C13" s="14">
        <f>AVERAGEIF(Table1[Product],B13,Table1[Rating])</f>
        <v>3</v>
      </c>
      <c r="D13" s="19">
        <f t="shared" si="1"/>
        <v>1</v>
      </c>
      <c r="E13" s="19">
        <f t="shared" si="0"/>
        <v>1</v>
      </c>
      <c r="F13" s="19">
        <f t="shared" si="0"/>
        <v>1</v>
      </c>
      <c r="G13" s="19">
        <f t="shared" si="0"/>
        <v>0</v>
      </c>
      <c r="H13" s="20">
        <f t="shared" si="0"/>
        <v>0</v>
      </c>
      <c r="I13" s="10"/>
      <c r="J13" s="21">
        <f>COUNTIFS(Table1[[Product]:[Product]],$B13,Table1[[Rating]:[Rating]],J$4)</f>
        <v>2</v>
      </c>
      <c r="K13" s="21">
        <f>COUNTIFS(Table1[[Product]:[Product]],$B13,Table1[[Rating]:[Rating]],K$4)</f>
        <v>2</v>
      </c>
      <c r="L13" s="21">
        <f>COUNTIFS(Table1[[Product]:[Product]],$B13,Table1[[Rating]:[Rating]],L$4)</f>
        <v>3</v>
      </c>
      <c r="M13" s="21">
        <f>COUNTIFS(Table1[[Product]:[Product]],$B13,Table1[[Rating]:[Rating]],M$4)</f>
        <v>4</v>
      </c>
      <c r="N13" s="21">
        <f>COUNTIFS(Table1[[Product]:[Product]],$B13,Table1[[Rating]:[Rating]],N$4)</f>
        <v>1</v>
      </c>
      <c r="O13" s="22">
        <f t="shared" si="2"/>
        <v>12</v>
      </c>
      <c r="P13" s="23"/>
    </row>
    <row r="14" spans="1:16" x14ac:dyDescent="0.2">
      <c r="A14" s="10"/>
      <c r="B14" s="18" t="s">
        <v>70</v>
      </c>
      <c r="C14" s="14">
        <f>AVERAGEIF(Table1[Product],B14,Table1[Rating])</f>
        <v>3.5</v>
      </c>
      <c r="D14" s="19">
        <f t="shared" si="1"/>
        <v>1</v>
      </c>
      <c r="E14" s="19">
        <f t="shared" si="0"/>
        <v>1</v>
      </c>
      <c r="F14" s="19">
        <f t="shared" si="0"/>
        <v>1</v>
      </c>
      <c r="G14" s="19">
        <f t="shared" si="0"/>
        <v>0.5</v>
      </c>
      <c r="H14" s="20">
        <f t="shared" si="0"/>
        <v>0</v>
      </c>
      <c r="I14" s="10"/>
      <c r="J14" s="21">
        <f>COUNTIFS(Table1[[Product]:[Product]],$B14,Table1[[Rating]:[Rating]],J$4)</f>
        <v>0</v>
      </c>
      <c r="K14" s="21">
        <f>COUNTIFS(Table1[[Product]:[Product]],$B14,Table1[[Rating]:[Rating]],K$4)</f>
        <v>2</v>
      </c>
      <c r="L14" s="21">
        <f>COUNTIFS(Table1[[Product]:[Product]],$B14,Table1[[Rating]:[Rating]],L$4)</f>
        <v>3</v>
      </c>
      <c r="M14" s="21">
        <f>COUNTIFS(Table1[[Product]:[Product]],$B14,Table1[[Rating]:[Rating]],M$4)</f>
        <v>3</v>
      </c>
      <c r="N14" s="21">
        <f>COUNTIFS(Table1[[Product]:[Product]],$B14,Table1[[Rating]:[Rating]],N$4)</f>
        <v>2</v>
      </c>
      <c r="O14" s="22">
        <f t="shared" si="2"/>
        <v>10</v>
      </c>
      <c r="P14" s="23"/>
    </row>
    <row r="15" spans="1:16" x14ac:dyDescent="0.2">
      <c r="A15" s="10"/>
      <c r="B15" s="18" t="s">
        <v>73</v>
      </c>
      <c r="C15" s="14">
        <f>AVERAGEIF(Table1[Product],B15,Table1[Rating])</f>
        <v>3.5</v>
      </c>
      <c r="D15" s="19">
        <f t="shared" si="1"/>
        <v>1</v>
      </c>
      <c r="E15" s="19">
        <f t="shared" si="0"/>
        <v>1</v>
      </c>
      <c r="F15" s="19">
        <f t="shared" si="0"/>
        <v>1</v>
      </c>
      <c r="G15" s="19">
        <f t="shared" si="0"/>
        <v>0.5</v>
      </c>
      <c r="H15" s="20">
        <f t="shared" si="0"/>
        <v>0</v>
      </c>
      <c r="I15" s="10"/>
      <c r="J15" s="21">
        <f>COUNTIFS(Table1[[Product]:[Product]],$B15,Table1[[Rating]:[Rating]],J$4)</f>
        <v>0</v>
      </c>
      <c r="K15" s="21">
        <f>COUNTIFS(Table1[[Product]:[Product]],$B15,Table1[[Rating]:[Rating]],K$4)</f>
        <v>0</v>
      </c>
      <c r="L15" s="21">
        <f>COUNTIFS(Table1[[Product]:[Product]],$B15,Table1[[Rating]:[Rating]],L$4)</f>
        <v>1</v>
      </c>
      <c r="M15" s="21">
        <f>COUNTIFS(Table1[[Product]:[Product]],$B15,Table1[[Rating]:[Rating]],M$4)</f>
        <v>1</v>
      </c>
      <c r="N15" s="21">
        <f>COUNTIFS(Table1[[Product]:[Product]],$B15,Table1[[Rating]:[Rating]],N$4)</f>
        <v>0</v>
      </c>
      <c r="O15" s="22">
        <f t="shared" si="2"/>
        <v>2</v>
      </c>
      <c r="P15" s="23"/>
    </row>
    <row r="16" spans="1:16" x14ac:dyDescent="0.2">
      <c r="A16" s="10"/>
      <c r="B16" s="18" t="s">
        <v>75</v>
      </c>
      <c r="C16" s="14">
        <f>AVERAGEIF(Table1[Product],B16,Table1[Rating])</f>
        <v>3</v>
      </c>
      <c r="D16" s="19">
        <f t="shared" si="1"/>
        <v>1</v>
      </c>
      <c r="E16" s="19">
        <f t="shared" si="0"/>
        <v>1</v>
      </c>
      <c r="F16" s="19">
        <f t="shared" si="0"/>
        <v>1</v>
      </c>
      <c r="G16" s="19">
        <f t="shared" si="0"/>
        <v>0</v>
      </c>
      <c r="H16" s="20">
        <f t="shared" si="0"/>
        <v>0</v>
      </c>
      <c r="I16" s="10"/>
      <c r="J16" s="21">
        <f>COUNTIFS(Table1[[Product]:[Product]],$B16,Table1[[Rating]:[Rating]],J$4)</f>
        <v>1</v>
      </c>
      <c r="K16" s="21">
        <f>COUNTIFS(Table1[[Product]:[Product]],$B16,Table1[[Rating]:[Rating]],K$4)</f>
        <v>1</v>
      </c>
      <c r="L16" s="21">
        <f>COUNTIFS(Table1[[Product]:[Product]],$B16,Table1[[Rating]:[Rating]],L$4)</f>
        <v>1</v>
      </c>
      <c r="M16" s="21">
        <f>COUNTIFS(Table1[[Product]:[Product]],$B16,Table1[[Rating]:[Rating]],M$4)</f>
        <v>1</v>
      </c>
      <c r="N16" s="21">
        <f>COUNTIFS(Table1[[Product]:[Product]],$B16,Table1[[Rating]:[Rating]],N$4)</f>
        <v>1</v>
      </c>
      <c r="O16" s="22">
        <f t="shared" si="2"/>
        <v>5</v>
      </c>
      <c r="P16" s="23"/>
    </row>
    <row r="17" spans="1:16" x14ac:dyDescent="0.2">
      <c r="A17" s="10"/>
      <c r="B17" s="18" t="s">
        <v>76</v>
      </c>
      <c r="C17" s="14">
        <f>AVERAGEIF(Table1[Product],B17,Table1[Rating])</f>
        <v>2.8888888888888888</v>
      </c>
      <c r="D17" s="19">
        <f t="shared" si="1"/>
        <v>1</v>
      </c>
      <c r="E17" s="19">
        <f t="shared" si="0"/>
        <v>1</v>
      </c>
      <c r="F17" s="19">
        <f t="shared" si="0"/>
        <v>0.88888888888888884</v>
      </c>
      <c r="G17" s="19">
        <f t="shared" si="0"/>
        <v>0</v>
      </c>
      <c r="H17" s="20">
        <f t="shared" si="0"/>
        <v>0</v>
      </c>
      <c r="I17" s="10"/>
      <c r="J17" s="21">
        <f>COUNTIFS(Table1[[Product]:[Product]],$B17,Table1[[Rating]:[Rating]],J$4)</f>
        <v>2</v>
      </c>
      <c r="K17" s="21">
        <f>COUNTIFS(Table1[[Product]:[Product]],$B17,Table1[[Rating]:[Rating]],K$4)</f>
        <v>1</v>
      </c>
      <c r="L17" s="21">
        <f>COUNTIFS(Table1[[Product]:[Product]],$B17,Table1[[Rating]:[Rating]],L$4)</f>
        <v>3</v>
      </c>
      <c r="M17" s="21">
        <f>COUNTIFS(Table1[[Product]:[Product]],$B17,Table1[[Rating]:[Rating]],M$4)</f>
        <v>2</v>
      </c>
      <c r="N17" s="21">
        <f>COUNTIFS(Table1[[Product]:[Product]],$B17,Table1[[Rating]:[Rating]],N$4)</f>
        <v>1</v>
      </c>
      <c r="O17" s="22">
        <f t="shared" si="2"/>
        <v>9</v>
      </c>
      <c r="P17" s="23"/>
    </row>
    <row r="18" spans="1:16" x14ac:dyDescent="0.2">
      <c r="A18" s="10"/>
      <c r="B18" s="18" t="s">
        <v>79</v>
      </c>
      <c r="C18" s="14">
        <f>AVERAGEIF(Table1[Product],B18,Table1[Rating])</f>
        <v>2.5714285714285716</v>
      </c>
      <c r="D18" s="19">
        <f t="shared" si="1"/>
        <v>1</v>
      </c>
      <c r="E18" s="19">
        <f t="shared" si="0"/>
        <v>1</v>
      </c>
      <c r="F18" s="19">
        <f t="shared" si="0"/>
        <v>0.57142857142857162</v>
      </c>
      <c r="G18" s="19">
        <f t="shared" si="0"/>
        <v>0</v>
      </c>
      <c r="H18" s="20">
        <f t="shared" si="0"/>
        <v>0</v>
      </c>
      <c r="I18" s="10"/>
      <c r="J18" s="21">
        <f>COUNTIFS(Table1[[Product]:[Product]],$B18,Table1[[Rating]:[Rating]],J$4)</f>
        <v>3</v>
      </c>
      <c r="K18" s="21">
        <f>COUNTIFS(Table1[[Product]:[Product]],$B18,Table1[[Rating]:[Rating]],K$4)</f>
        <v>0</v>
      </c>
      <c r="L18" s="21">
        <f>COUNTIFS(Table1[[Product]:[Product]],$B18,Table1[[Rating]:[Rating]],L$4)</f>
        <v>2</v>
      </c>
      <c r="M18" s="21">
        <f>COUNTIFS(Table1[[Product]:[Product]],$B18,Table1[[Rating]:[Rating]],M$4)</f>
        <v>1</v>
      </c>
      <c r="N18" s="21">
        <f>COUNTIFS(Table1[[Product]:[Product]],$B18,Table1[[Rating]:[Rating]],N$4)</f>
        <v>1</v>
      </c>
      <c r="O18" s="22">
        <f t="shared" si="2"/>
        <v>7</v>
      </c>
      <c r="P18" s="23"/>
    </row>
    <row r="19" spans="1:16" ht="13.5" thickBot="1" x14ac:dyDescent="0.25">
      <c r="A19" s="10"/>
      <c r="B19" s="24" t="s">
        <v>81</v>
      </c>
      <c r="C19" s="25">
        <f>AVERAGEIF(Table1[Product],B19,Table1[Rating])</f>
        <v>3.5</v>
      </c>
      <c r="D19" s="26">
        <f t="shared" si="1"/>
        <v>1</v>
      </c>
      <c r="E19" s="26">
        <f t="shared" si="0"/>
        <v>1</v>
      </c>
      <c r="F19" s="26">
        <f t="shared" si="0"/>
        <v>1</v>
      </c>
      <c r="G19" s="26">
        <f t="shared" si="0"/>
        <v>0.5</v>
      </c>
      <c r="H19" s="27">
        <f t="shared" si="0"/>
        <v>0</v>
      </c>
      <c r="I19" s="10"/>
      <c r="J19" s="21">
        <f>COUNTIFS(Table1[[Product]:[Product]],$B19,Table1[[Rating]:[Rating]],J$4)</f>
        <v>1</v>
      </c>
      <c r="K19" s="21">
        <f>COUNTIFS(Table1[[Product]:[Product]],$B19,Table1[[Rating]:[Rating]],K$4)</f>
        <v>2</v>
      </c>
      <c r="L19" s="21">
        <f>COUNTIFS(Table1[[Product]:[Product]],$B19,Table1[[Rating]:[Rating]],L$4)</f>
        <v>5</v>
      </c>
      <c r="M19" s="21">
        <f>COUNTIFS(Table1[[Product]:[Product]],$B19,Table1[[Rating]:[Rating]],M$4)</f>
        <v>1</v>
      </c>
      <c r="N19" s="21">
        <f>COUNTIFS(Table1[[Product]:[Product]],$B19,Table1[[Rating]:[Rating]],N$4)</f>
        <v>5</v>
      </c>
      <c r="O19" s="22">
        <f t="shared" si="2"/>
        <v>14</v>
      </c>
      <c r="P19" s="23"/>
    </row>
    <row r="20" spans="1:16" x14ac:dyDescent="0.2">
      <c r="A20" s="10"/>
      <c r="B20" s="13"/>
      <c r="C20" s="12"/>
      <c r="D20" s="12"/>
      <c r="E20" s="12"/>
      <c r="F20" s="12"/>
      <c r="G20" s="12"/>
      <c r="H20" s="10"/>
      <c r="I20" s="10"/>
      <c r="J20" s="23"/>
      <c r="K20" s="23"/>
      <c r="L20" s="23"/>
      <c r="M20" s="23"/>
      <c r="N20" s="23"/>
      <c r="O20" s="23"/>
      <c r="P20" s="23"/>
    </row>
    <row r="21" spans="1:16" x14ac:dyDescent="0.2">
      <c r="A21" s="10"/>
      <c r="B21" s="10"/>
      <c r="C21" s="10"/>
      <c r="D21" s="10"/>
      <c r="E21" s="10"/>
      <c r="F21" s="10"/>
      <c r="G21" s="10"/>
      <c r="H21" s="10"/>
      <c r="I21" s="10"/>
      <c r="J21" s="23"/>
      <c r="K21" s="23"/>
      <c r="L21" s="23"/>
      <c r="M21" s="23"/>
      <c r="N21" s="23"/>
      <c r="O21" s="23"/>
      <c r="P21" s="23"/>
    </row>
    <row r="22" spans="1:16" x14ac:dyDescent="0.2">
      <c r="A22" s="10">
        <f>MATCH(Product_Selection,Products,0)</f>
        <v>1</v>
      </c>
      <c r="B22" s="10" t="s">
        <v>2</v>
      </c>
      <c r="C22" s="10">
        <f>INDEX($J$6:$N$19,$A$22,COLUMNS($J$1:J1))</f>
        <v>6</v>
      </c>
      <c r="D22" s="10">
        <f>INDEX($J$6:$N$19,$A$22,COLUMNS($J$1:K1))</f>
        <v>1</v>
      </c>
      <c r="E22" s="10">
        <f>INDEX($J$6:$N$19,$A$22,COLUMNS($J$1:L1))</f>
        <v>1</v>
      </c>
      <c r="F22" s="10">
        <f>INDEX($J$6:$N$19,$A$22,COLUMNS($J$1:M1))</f>
        <v>2</v>
      </c>
      <c r="G22" s="10">
        <f>INDEX($J$6:$N$19,$A$22,COLUMNS($J$1:N1))</f>
        <v>3</v>
      </c>
      <c r="H22" s="10"/>
      <c r="I22" s="10"/>
      <c r="J22" s="23"/>
      <c r="K22" s="23"/>
      <c r="L22" s="23"/>
      <c r="M22" s="23"/>
      <c r="N22" s="23"/>
      <c r="O22" s="23"/>
      <c r="P22" s="23"/>
    </row>
    <row r="23" spans="1:16" x14ac:dyDescent="0.2">
      <c r="A23" s="10"/>
      <c r="B23" s="10" t="str">
        <f>INDEX($O$6:$O$19,$A$22,O1:O1)&amp;" Total Reviews For "&amp;B22</f>
        <v>13 Total Reviews For Alice Mutton</v>
      </c>
      <c r="C23" s="10"/>
      <c r="D23" s="10"/>
      <c r="E23" s="10"/>
      <c r="F23" s="10"/>
      <c r="G23" s="10"/>
      <c r="H23" s="10"/>
      <c r="I23" s="10"/>
      <c r="J23" s="23"/>
      <c r="K23" s="23"/>
      <c r="L23" s="23"/>
      <c r="M23" s="23"/>
      <c r="N23" s="23"/>
      <c r="O23" s="23"/>
      <c r="P23" s="23"/>
    </row>
    <row r="24" spans="1:16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</row>
    <row r="25" spans="1:16" ht="13.5" thickBot="1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</row>
    <row r="26" spans="1:16" x14ac:dyDescent="0.2">
      <c r="A26" s="8"/>
      <c r="B26" s="28" t="str">
        <f>IFERROR(HYPERLINK(ChartSelection(B6),B6),B6)</f>
        <v>Alice Mutton</v>
      </c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30"/>
      <c r="P26" s="8"/>
    </row>
    <row r="27" spans="1:16" x14ac:dyDescent="0.2">
      <c r="A27" s="8"/>
      <c r="B27" s="31" t="str">
        <f>IFERROR(HYPERLINK(ChartSelection(B7),B7),B7)</f>
        <v>Aniseed Syrup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32"/>
      <c r="P27" s="8"/>
    </row>
    <row r="28" spans="1:16" x14ac:dyDescent="0.2">
      <c r="A28" s="8"/>
      <c r="B28" s="31" t="str">
        <f>IFERROR(HYPERLINK(ChartSelection(B8),B8),B8)</f>
        <v>Boston Crab Meat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32"/>
      <c r="P28" s="8"/>
    </row>
    <row r="29" spans="1:16" x14ac:dyDescent="0.2">
      <c r="A29" s="8"/>
      <c r="B29" s="31" t="str">
        <f>IFERROR(HYPERLINK(ChartSelection(B9),B9),B9)</f>
        <v>Camembert Pierrot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32"/>
      <c r="P29" s="8"/>
    </row>
    <row r="30" spans="1:16" x14ac:dyDescent="0.2">
      <c r="A30" s="8"/>
      <c r="B30" s="31" t="str">
        <f>IFERROR(HYPERLINK(ChartSelection(B10),B10),B10)</f>
        <v>Carnarvon Tigers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32"/>
      <c r="P30" s="8"/>
    </row>
    <row r="31" spans="1:16" x14ac:dyDescent="0.2">
      <c r="A31" s="8"/>
      <c r="B31" s="31" t="str">
        <f>IFERROR(HYPERLINK(ChartSelection(B11),B11),B11)</f>
        <v>Chai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32"/>
      <c r="P31" s="8"/>
    </row>
    <row r="32" spans="1:16" x14ac:dyDescent="0.2">
      <c r="A32" s="8"/>
      <c r="B32" s="31" t="str">
        <f>IFERROR(HYPERLINK(ChartSelection(B12),B12),B12)</f>
        <v>Chang</v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32"/>
      <c r="P32" s="8"/>
    </row>
    <row r="33" spans="1:16" x14ac:dyDescent="0.2">
      <c r="A33" s="8"/>
      <c r="B33" s="31" t="str">
        <f>IFERROR(HYPERLINK(ChartSelection(B13),B13),B13)</f>
        <v>Chartreuse verte</v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32"/>
      <c r="P33" s="8"/>
    </row>
    <row r="34" spans="1:16" x14ac:dyDescent="0.2">
      <c r="A34" s="8"/>
      <c r="B34" s="31" t="str">
        <f>IFERROR(HYPERLINK(ChartSelection(B14),B14),B14)</f>
        <v>Chef Anton's Cajun Seasoning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32"/>
      <c r="P34" s="8"/>
    </row>
    <row r="35" spans="1:16" x14ac:dyDescent="0.2">
      <c r="A35" s="8"/>
      <c r="B35" s="31" t="str">
        <f>IFERROR(HYPERLINK(ChartSelection(B15),B15),B15)</f>
        <v>Chef Anton's Gumbo Mix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32"/>
      <c r="P35" s="8"/>
    </row>
    <row r="36" spans="1:16" x14ac:dyDescent="0.2">
      <c r="A36" s="8"/>
      <c r="B36" s="31" t="str">
        <f>IFERROR(HYPERLINK(ChartSelection(B16),B16),B16)</f>
        <v>Chocolade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32"/>
      <c r="P36" s="8"/>
    </row>
    <row r="37" spans="1:16" x14ac:dyDescent="0.2">
      <c r="A37" s="8"/>
      <c r="B37" s="31" t="str">
        <f>IFERROR(HYPERLINK(ChartSelection(B17),B17),B17)</f>
        <v>Côte de Blaye</v>
      </c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32"/>
      <c r="P37" s="8"/>
    </row>
    <row r="38" spans="1:16" x14ac:dyDescent="0.2">
      <c r="A38" s="8"/>
      <c r="B38" s="31" t="str">
        <f>IFERROR(HYPERLINK(ChartSelection(B18),B18),B18)</f>
        <v>Escargots de Bourgogne</v>
      </c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32"/>
      <c r="P38" s="8"/>
    </row>
    <row r="39" spans="1:16" ht="13.5" thickBot="1" x14ac:dyDescent="0.25">
      <c r="A39" s="8"/>
      <c r="B39" s="33" t="str">
        <f>IFERROR(HYPERLINK(ChartSelection(B19),B19),B19)</f>
        <v>Filo Mix</v>
      </c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5"/>
      <c r="P39" s="8"/>
    </row>
    <row r="40" spans="1:16" x14ac:dyDescent="0.2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</row>
  </sheetData>
  <mergeCells count="3">
    <mergeCell ref="D3:H3"/>
    <mergeCell ref="A1:P1"/>
    <mergeCell ref="D5:H5"/>
  </mergeCells>
  <dataValidations count="2">
    <dataValidation type="list" allowBlank="1" showInputMessage="1" showErrorMessage="1" sqref="B20" xr:uid="{00000000-0002-0000-0100-000000000000}">
      <formula1>$B$4:$B$17</formula1>
    </dataValidation>
    <dataValidation type="list" allowBlank="1" showInputMessage="1" showErrorMessage="1" sqref="B22" xr:uid="{F7CAB2DB-9CBE-4294-9BDF-4A821EC83D03}">
      <formula1>Products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F65F58D2-AF03-4DE4-B6FD-DC2812AD75CD}">
            <x14:iconSet iconSet="3Stars" showValue="0">
              <x14:cfvo type="percent">
                <xm:f>0</xm:f>
              </x14:cfvo>
              <x14:cfvo type="num">
                <xm:f>0.5</xm:f>
              </x14:cfvo>
              <x14:cfvo type="num">
                <xm:f>1</xm:f>
              </x14:cfvo>
            </x14:iconSet>
          </x14:cfRule>
          <xm:sqref>D6:H19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Source Data</vt:lpstr>
      <vt:lpstr>Products Review Rating</vt:lpstr>
      <vt:lpstr>'Source Data'!Extract</vt:lpstr>
      <vt:lpstr>Product_Selection</vt:lpstr>
      <vt:lpstr>Products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Andreas E</dc:creator>
  <cp:keywords/>
  <dc:description/>
  <cp:lastModifiedBy>MacBook</cp:lastModifiedBy>
  <cp:lastPrinted>2003-09-23T23:52:49Z</cp:lastPrinted>
  <dcterms:created xsi:type="dcterms:W3CDTF">2003-09-08T22:29:31Z</dcterms:created>
  <dcterms:modified xsi:type="dcterms:W3CDTF">2022-07-20T14:33:56Z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TC011123471033</vt:lpwstr>
  </property>
</Properties>
</file>